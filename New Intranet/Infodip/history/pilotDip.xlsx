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OneDrive\Documenti\SNAITECH\Workspaces\New Intranet\Infodip\"/>
    </mc:Choice>
  </mc:AlternateContent>
  <xr:revisionPtr revIDLastSave="0" documentId="13_ncr:1_{5E1FAF0F-7FAA-4E1D-ACF3-8EFDE6E5EE3A}" xr6:coauthVersionLast="45" xr6:coauthVersionMax="45" xr10:uidLastSave="{00000000-0000-0000-0000-000000000000}"/>
  <bookViews>
    <workbookView xWindow="1010" yWindow="130" windowWidth="35910" windowHeight="19230" activeTab="1" xr2:uid="{00000000-000D-0000-FFFF-FFFF00000000}"/>
  </bookViews>
  <sheets>
    <sheet name="pilotDip" sheetId="1" r:id="rId1"/>
    <sheet name="Gruppi S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2" l="1"/>
  <c r="J4" i="2"/>
  <c r="K4" i="2"/>
  <c r="L4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I9" i="2"/>
  <c r="J9" i="2"/>
  <c r="K9" i="2"/>
  <c r="L9" i="2"/>
  <c r="I10" i="2"/>
  <c r="J10" i="2"/>
  <c r="K10" i="2"/>
  <c r="L10" i="2"/>
  <c r="I11" i="2"/>
  <c r="J11" i="2"/>
  <c r="K11" i="2"/>
  <c r="L11" i="2"/>
  <c r="I12" i="2"/>
  <c r="J12" i="2"/>
  <c r="K12" i="2"/>
  <c r="L12" i="2"/>
  <c r="I13" i="2"/>
  <c r="J13" i="2"/>
  <c r="K13" i="2"/>
  <c r="L13" i="2"/>
  <c r="I14" i="2"/>
  <c r="J14" i="2"/>
  <c r="K14" i="2"/>
  <c r="L14" i="2"/>
  <c r="I15" i="2"/>
  <c r="J15" i="2"/>
  <c r="K15" i="2"/>
  <c r="L15" i="2"/>
  <c r="I16" i="2"/>
  <c r="J16" i="2"/>
  <c r="K16" i="2"/>
  <c r="L16" i="2"/>
  <c r="I17" i="2"/>
  <c r="J17" i="2"/>
  <c r="K17" i="2"/>
  <c r="L17" i="2"/>
  <c r="I18" i="2"/>
  <c r="J18" i="2"/>
  <c r="K18" i="2"/>
  <c r="L18" i="2"/>
  <c r="I19" i="2"/>
  <c r="J19" i="2"/>
  <c r="K19" i="2"/>
  <c r="L19" i="2"/>
  <c r="I20" i="2"/>
  <c r="J20" i="2"/>
  <c r="K20" i="2"/>
  <c r="L20" i="2"/>
  <c r="I21" i="2"/>
  <c r="J21" i="2"/>
  <c r="K21" i="2"/>
  <c r="L21" i="2"/>
  <c r="I22" i="2"/>
  <c r="J22" i="2"/>
  <c r="K22" i="2"/>
  <c r="L22" i="2"/>
  <c r="I23" i="2"/>
  <c r="J23" i="2"/>
  <c r="K23" i="2"/>
  <c r="L23" i="2"/>
  <c r="I24" i="2"/>
  <c r="J24" i="2"/>
  <c r="K24" i="2"/>
  <c r="L24" i="2"/>
  <c r="I25" i="2"/>
  <c r="J25" i="2"/>
  <c r="K25" i="2"/>
  <c r="L25" i="2"/>
  <c r="I26" i="2"/>
  <c r="J26" i="2"/>
  <c r="K26" i="2"/>
  <c r="L26" i="2"/>
  <c r="I27" i="2"/>
  <c r="J27" i="2"/>
  <c r="K27" i="2"/>
  <c r="L27" i="2"/>
  <c r="I28" i="2"/>
  <c r="J28" i="2"/>
  <c r="K28" i="2"/>
  <c r="L28" i="2"/>
  <c r="I29" i="2"/>
  <c r="J29" i="2"/>
  <c r="K29" i="2"/>
  <c r="L29" i="2"/>
  <c r="I30" i="2"/>
  <c r="J30" i="2"/>
  <c r="K30" i="2"/>
  <c r="L30" i="2"/>
  <c r="I31" i="2"/>
  <c r="J31" i="2"/>
  <c r="K31" i="2"/>
  <c r="L31" i="2"/>
  <c r="I32" i="2"/>
  <c r="J32" i="2"/>
  <c r="K32" i="2"/>
  <c r="L32" i="2"/>
  <c r="I33" i="2"/>
  <c r="J33" i="2"/>
  <c r="K33" i="2"/>
  <c r="L33" i="2"/>
  <c r="I34" i="2"/>
  <c r="J34" i="2"/>
  <c r="K34" i="2"/>
  <c r="L34" i="2"/>
  <c r="I35" i="2"/>
  <c r="J35" i="2"/>
  <c r="K35" i="2"/>
  <c r="L35" i="2"/>
  <c r="I36" i="2"/>
  <c r="J36" i="2"/>
  <c r="K36" i="2"/>
  <c r="L36" i="2"/>
  <c r="I37" i="2"/>
  <c r="J37" i="2"/>
  <c r="K37" i="2"/>
  <c r="L37" i="2"/>
  <c r="I38" i="2"/>
  <c r="J38" i="2"/>
  <c r="K38" i="2"/>
  <c r="L38" i="2"/>
  <c r="I39" i="2"/>
  <c r="J39" i="2"/>
  <c r="K39" i="2"/>
  <c r="L39" i="2"/>
  <c r="I40" i="2"/>
  <c r="J40" i="2"/>
  <c r="K40" i="2"/>
  <c r="L40" i="2"/>
  <c r="I41" i="2"/>
  <c r="J41" i="2"/>
  <c r="K41" i="2"/>
  <c r="L41" i="2"/>
  <c r="I42" i="2"/>
  <c r="J42" i="2"/>
  <c r="K42" i="2"/>
  <c r="L42" i="2"/>
  <c r="I43" i="2"/>
  <c r="J43" i="2"/>
  <c r="K43" i="2"/>
  <c r="L43" i="2"/>
  <c r="I44" i="2"/>
  <c r="J44" i="2"/>
  <c r="K44" i="2"/>
  <c r="L44" i="2"/>
  <c r="I45" i="2"/>
  <c r="J45" i="2"/>
  <c r="K45" i="2"/>
  <c r="L45" i="2"/>
  <c r="I46" i="2"/>
  <c r="J46" i="2"/>
  <c r="K46" i="2"/>
  <c r="L46" i="2"/>
  <c r="I47" i="2"/>
  <c r="J47" i="2"/>
  <c r="K47" i="2"/>
  <c r="L47" i="2"/>
  <c r="I48" i="2"/>
  <c r="J48" i="2"/>
  <c r="K48" i="2"/>
  <c r="L48" i="2"/>
  <c r="I49" i="2"/>
  <c r="J49" i="2"/>
  <c r="K49" i="2"/>
  <c r="L49" i="2"/>
  <c r="I50" i="2"/>
  <c r="J50" i="2"/>
  <c r="K50" i="2"/>
  <c r="L50" i="2"/>
  <c r="I51" i="2"/>
  <c r="J51" i="2"/>
  <c r="K51" i="2"/>
  <c r="L51" i="2"/>
  <c r="I52" i="2"/>
  <c r="J52" i="2"/>
  <c r="K52" i="2"/>
  <c r="L52" i="2"/>
  <c r="I53" i="2"/>
  <c r="J53" i="2"/>
  <c r="K53" i="2"/>
  <c r="L53" i="2"/>
  <c r="I54" i="2"/>
  <c r="J54" i="2"/>
  <c r="K54" i="2"/>
  <c r="L54" i="2"/>
  <c r="I55" i="2"/>
  <c r="J55" i="2"/>
  <c r="K55" i="2"/>
  <c r="L55" i="2"/>
  <c r="I56" i="2"/>
  <c r="J56" i="2"/>
  <c r="K56" i="2"/>
  <c r="L56" i="2"/>
  <c r="I57" i="2"/>
  <c r="J57" i="2"/>
  <c r="K57" i="2"/>
  <c r="L57" i="2"/>
  <c r="I58" i="2"/>
  <c r="J58" i="2"/>
  <c r="K58" i="2"/>
  <c r="L58" i="2"/>
  <c r="I59" i="2"/>
  <c r="J59" i="2"/>
  <c r="K59" i="2"/>
  <c r="L59" i="2"/>
  <c r="I60" i="2"/>
  <c r="J60" i="2"/>
  <c r="K60" i="2"/>
  <c r="L60" i="2"/>
  <c r="I61" i="2"/>
  <c r="J61" i="2"/>
  <c r="K61" i="2"/>
  <c r="L61" i="2"/>
  <c r="I62" i="2"/>
  <c r="J62" i="2"/>
  <c r="K62" i="2"/>
  <c r="L62" i="2"/>
  <c r="I63" i="2"/>
  <c r="J63" i="2"/>
  <c r="K63" i="2"/>
  <c r="L63" i="2"/>
  <c r="I64" i="2"/>
  <c r="J64" i="2"/>
  <c r="K64" i="2"/>
  <c r="L64" i="2"/>
  <c r="I65" i="2"/>
  <c r="J65" i="2"/>
  <c r="K65" i="2"/>
  <c r="L65" i="2"/>
  <c r="I66" i="2"/>
  <c r="J66" i="2"/>
  <c r="K66" i="2"/>
  <c r="L66" i="2"/>
  <c r="I67" i="2"/>
  <c r="J67" i="2"/>
  <c r="K67" i="2"/>
  <c r="L67" i="2"/>
  <c r="I68" i="2"/>
  <c r="J68" i="2"/>
  <c r="K68" i="2"/>
  <c r="L68" i="2"/>
  <c r="I69" i="2"/>
  <c r="J69" i="2"/>
  <c r="K69" i="2"/>
  <c r="L69" i="2"/>
  <c r="I70" i="2"/>
  <c r="J70" i="2"/>
  <c r="K70" i="2"/>
  <c r="L70" i="2"/>
  <c r="I71" i="2"/>
  <c r="J71" i="2"/>
  <c r="K71" i="2"/>
  <c r="L71" i="2"/>
  <c r="I72" i="2"/>
  <c r="J72" i="2"/>
  <c r="K72" i="2"/>
  <c r="L72" i="2"/>
  <c r="I73" i="2"/>
  <c r="J73" i="2"/>
  <c r="K73" i="2"/>
  <c r="L73" i="2"/>
  <c r="I74" i="2"/>
  <c r="J74" i="2"/>
  <c r="K74" i="2"/>
  <c r="L74" i="2"/>
  <c r="I75" i="2"/>
  <c r="J75" i="2"/>
  <c r="K75" i="2"/>
  <c r="L75" i="2"/>
  <c r="I76" i="2"/>
  <c r="J76" i="2"/>
  <c r="K76" i="2"/>
  <c r="L76" i="2"/>
  <c r="I77" i="2"/>
  <c r="J77" i="2"/>
  <c r="K77" i="2"/>
  <c r="L77" i="2"/>
  <c r="I78" i="2"/>
  <c r="J78" i="2"/>
  <c r="K78" i="2"/>
  <c r="L78" i="2"/>
  <c r="I79" i="2"/>
  <c r="J79" i="2"/>
  <c r="K79" i="2"/>
  <c r="L79" i="2"/>
  <c r="I80" i="2"/>
  <c r="J80" i="2"/>
  <c r="K80" i="2"/>
  <c r="L80" i="2"/>
  <c r="I81" i="2"/>
  <c r="J81" i="2"/>
  <c r="K81" i="2"/>
  <c r="L81" i="2"/>
  <c r="I82" i="2"/>
  <c r="J82" i="2"/>
  <c r="K82" i="2"/>
  <c r="L82" i="2"/>
  <c r="I3" i="2"/>
  <c r="J3" i="2"/>
  <c r="K3" i="2"/>
  <c r="L3" i="2"/>
  <c r="L2" i="2"/>
  <c r="K2" i="2"/>
  <c r="J2" i="2"/>
  <c r="I2" i="2"/>
</calcChain>
</file>

<file path=xl/sharedStrings.xml><?xml version="1.0" encoding="utf-8"?>
<sst xmlns="http://schemas.openxmlformats.org/spreadsheetml/2006/main" count="1533" uniqueCount="928">
  <si>
    <t>company</t>
  </si>
  <si>
    <t>sn</t>
  </si>
  <si>
    <t>givenName</t>
  </si>
  <si>
    <t>mail</t>
  </si>
  <si>
    <t>department</t>
  </si>
  <si>
    <t>description</t>
  </si>
  <si>
    <t>office</t>
  </si>
  <si>
    <t>jobTitle</t>
  </si>
  <si>
    <t>manager</t>
  </si>
  <si>
    <t>l</t>
  </si>
  <si>
    <t>streetAddress</t>
  </si>
  <si>
    <t>telephoneNumber</t>
  </si>
  <si>
    <t>mobile</t>
  </si>
  <si>
    <t>thumbnailphoto</t>
  </si>
  <si>
    <t>customAttribute6</t>
  </si>
  <si>
    <t>Gruppi SP</t>
  </si>
  <si>
    <t>Snaitech</t>
  </si>
  <si>
    <t>AGOSTINO</t>
  </si>
  <si>
    <t>ROMANO</t>
  </si>
  <si>
    <t>agostino.romano@snaitech.it</t>
  </si>
  <si>
    <t>BU Gaming Machine</t>
  </si>
  <si>
    <t>Funzione Gaming Machine</t>
  </si>
  <si>
    <t>Area Gaming Machine</t>
  </si>
  <si>
    <t>Direttore BU Gaming Machine</t>
  </si>
  <si>
    <t>FABIO SCHIAVOLIN</t>
  </si>
  <si>
    <t>MILANO</t>
  </si>
  <si>
    <t>Milano - Piazza della Repubblica,32</t>
  </si>
  <si>
    <t>340-3320569</t>
  </si>
  <si>
    <t>28|1311|9141|234|5908|833|169|28|1142|7|||0</t>
  </si>
  <si>
    <t>SP_BU_Gaming_Machine</t>
  </si>
  <si>
    <t>ALESSANDRA</t>
  </si>
  <si>
    <t>FICCA</t>
  </si>
  <si>
    <t>alessandra.ficca@snaitech.it</t>
  </si>
  <si>
    <t>Funzione VLT</t>
  </si>
  <si>
    <t>Area Conduzione VLT - Reparto After Market VLT</t>
  </si>
  <si>
    <t>After Market Support VLT</t>
  </si>
  <si>
    <t>RICCARDO SABBATINI</t>
  </si>
  <si>
    <t>ROMA</t>
  </si>
  <si>
    <t>Roma - Via Goito, 58/A</t>
  </si>
  <si>
    <t>28|1233|7336|47|5908|474|330|28|1315|0|||0</t>
  </si>
  <si>
    <t>ALESSANDRO</t>
  </si>
  <si>
    <t>ALLARA</t>
  </si>
  <si>
    <t>alessandro.allara@snaitech.it</t>
  </si>
  <si>
    <t>BU Trading &amp; Digital</t>
  </si>
  <si>
    <t>Funzione Trading &amp; Digital</t>
  </si>
  <si>
    <t>Area Trading &amp; Digital</t>
  </si>
  <si>
    <t>Direttore BU Trading &amp; Digital</t>
  </si>
  <si>
    <t>331-6472259</t>
  </si>
  <si>
    <t>28|1051|9104|217|5903|748|169|28|1142|0|||0</t>
  </si>
  <si>
    <t>SP_BU_Trading_Digital</t>
  </si>
  <si>
    <t>GIAMBASTIANI</t>
  </si>
  <si>
    <t>alessandro.giambastiani@snaitech.it</t>
  </si>
  <si>
    <t>Divisione/BU Betting Retail</t>
  </si>
  <si>
    <t>Funzione Retail Business Performance</t>
  </si>
  <si>
    <t>Area Retail Business Performance</t>
  </si>
  <si>
    <t>Business Analyst</t>
  </si>
  <si>
    <t>FABIO RICCI</t>
  </si>
  <si>
    <t>PORCARI</t>
  </si>
  <si>
    <t>Porcari (LU) - Via L.Boccherini, 39</t>
  </si>
  <si>
    <t>28|845|170|221|5911|403|16|28|98|0|||0</t>
  </si>
  <si>
    <t>SP_Divisione_BU_Betting_Retail</t>
  </si>
  <si>
    <t>GRAZIOSI</t>
  </si>
  <si>
    <t>alessandro.graziosi@snaitech.it</t>
  </si>
  <si>
    <t>Divisione Betting Retail &amp; Customer Operations</t>
  </si>
  <si>
    <t>Funzione Betting Retail &amp; Customer Operations</t>
  </si>
  <si>
    <t>Area Betting Retail &amp; Customer Operations</t>
  </si>
  <si>
    <t>Business Operations Director</t>
  </si>
  <si>
    <t>338-6156927</t>
  </si>
  <si>
    <t>28|1364|9162|242|5913|694|169|28|1142|0|||0</t>
  </si>
  <si>
    <t>SP_Divisione_Betting_Retail_Customer_Operations</t>
  </si>
  <si>
    <t>VIOLA</t>
  </si>
  <si>
    <t>alessandro.viola@snaitech.it</t>
  </si>
  <si>
    <t>Direzione Commerciale</t>
  </si>
  <si>
    <t>Direzione Vendite</t>
  </si>
  <si>
    <t>Area District Management - DM Sud</t>
  </si>
  <si>
    <t>Area Manager</t>
  </si>
  <si>
    <t>GIANFRANCO LICENZIATO</t>
  </si>
  <si>
    <t>28|953|9169|167|7|247|337|28|1045|0|||0</t>
  </si>
  <si>
    <t>SP_Direzione_Commerciale</t>
  </si>
  <si>
    <t>ALFONSINA</t>
  </si>
  <si>
    <t>CARBONE</t>
  </si>
  <si>
    <t>alfonsina.carbone@snaitech.it</t>
  </si>
  <si>
    <t>Direzione Amministrazione, Finanza e Controllo</t>
  </si>
  <si>
    <t>Funzione Acquisti</t>
  </si>
  <si>
    <t>Area Acquisti Business &amp; Staff</t>
  </si>
  <si>
    <t>Responsabile Acquisti Business &amp; Staff</t>
  </si>
  <si>
    <t>FRANCO PETRILLO</t>
  </si>
  <si>
    <t>347-5847938</t>
  </si>
  <si>
    <t>28|1181|9157|11|1|1601|239|28|1297|25|||0</t>
  </si>
  <si>
    <t>SP_Direzione_Amministrazione_Finanza_e_Controllo</t>
  </si>
  <si>
    <t>ANDREA</t>
  </si>
  <si>
    <t>AMATI</t>
  </si>
  <si>
    <t>ANDREA.AMATI@snaitech.it</t>
  </si>
  <si>
    <t>Area Vendite Betting</t>
  </si>
  <si>
    <t>Sales Support Manager</t>
  </si>
  <si>
    <t>VINCENZO NOVIELLO</t>
  </si>
  <si>
    <t>335-1422687</t>
  </si>
  <si>
    <t>28|62|75|167|7|1631|147|28|1147|0|||0</t>
  </si>
  <si>
    <t>BRUNO</t>
  </si>
  <si>
    <t>BATTISTA</t>
  </si>
  <si>
    <t>BRUNO.BATTISTA@snaitech.it</t>
  </si>
  <si>
    <t>Direzione Business Development &amp; Communications</t>
  </si>
  <si>
    <t>Funzione Project Management</t>
  </si>
  <si>
    <t>Area Project Management</t>
  </si>
  <si>
    <t>Direttore Project Management</t>
  </si>
  <si>
    <t>LAURA CAMPOPIANO</t>
  </si>
  <si>
    <t>335-7426345</t>
  </si>
  <si>
    <t>28|192|9144|237|5909|412|213|28|1177|0|||0</t>
  </si>
  <si>
    <t>SP_Direzione_Business_Development_Communications</t>
  </si>
  <si>
    <t>CARLO</t>
  </si>
  <si>
    <t>VANIGLIO</t>
  </si>
  <si>
    <t>carlo.vaniglio@snaitech.it</t>
  </si>
  <si>
    <t>Funzione AWP</t>
  </si>
  <si>
    <t>Area AWP Dirette</t>
  </si>
  <si>
    <t>After Market Specialist AWP D.</t>
  </si>
  <si>
    <t>TOMMASO PISCONERI</t>
  </si>
  <si>
    <t>Porcari (LU) - Via L.Boccherini, 57</t>
  </si>
  <si>
    <t>340-9794903</t>
  </si>
  <si>
    <t>28|374|76|27|5908|419|130|28|855|0|||0</t>
  </si>
  <si>
    <t>CHIAFFREDO STEFANO</t>
  </si>
  <si>
    <t>RINAUDO</t>
  </si>
  <si>
    <t>chiaffredo.rinaudo@snaitech.it</t>
  </si>
  <si>
    <t>Funzione Amministrazione, Finanza e Controllo</t>
  </si>
  <si>
    <t>Area Amministrazione, Finanza e Controllo</t>
  </si>
  <si>
    <t>CFO</t>
  </si>
  <si>
    <t>334-6388228</t>
  </si>
  <si>
    <t>28|1310|1010|2|1|263|169|28|1142|0|||0</t>
  </si>
  <si>
    <t>CHIARA</t>
  </si>
  <si>
    <t>SORDELLI</t>
  </si>
  <si>
    <t>chiara.sordelli@snaitech.it</t>
  </si>
  <si>
    <t>Amministratore Delegato</t>
  </si>
  <si>
    <t>Assistente AD</t>
  </si>
  <si>
    <t>28|1324|1005|62|5005|677|169|28|1142|0|||0</t>
  </si>
  <si>
    <t>SP_Amministratore_Delegato</t>
  </si>
  <si>
    <t>CHRISTOPHER EDWARD</t>
  </si>
  <si>
    <t>BATES</t>
  </si>
  <si>
    <t>chris.bates@snaitech.it</t>
  </si>
  <si>
    <t>Direzione ICT</t>
  </si>
  <si>
    <t>Funzione Information Technology Services Management</t>
  </si>
  <si>
    <t>Area Information Technology Services Management</t>
  </si>
  <si>
    <t>ICT Services Manager</t>
  </si>
  <si>
    <t>MORGAN RICCIARDI</t>
  </si>
  <si>
    <t>331-5710806</t>
  </si>
  <si>
    <t>28|1164|9133|232|5300|809|17|28|86|0|||0</t>
  </si>
  <si>
    <t>SP_Direzione_ICT</t>
  </si>
  <si>
    <t>CLAUDIA</t>
  </si>
  <si>
    <t>CARLINI</t>
  </si>
  <si>
    <t>CLAUDIA.CARLINI@snaitech.it</t>
  </si>
  <si>
    <t>Funzione Offerta Prodotto Betting</t>
  </si>
  <si>
    <t>Area Product Management Sport</t>
  </si>
  <si>
    <t>Product Manager Sport</t>
  </si>
  <si>
    <t>LORENZO STOPPINI</t>
  </si>
  <si>
    <t>335-7556781</t>
  </si>
  <si>
    <t>28|101|9117|222|5911|683|20|28|19|0|||0</t>
  </si>
  <si>
    <t>CICORIA</t>
  </si>
  <si>
    <t>claudia.cicoria@snaitech.it</t>
  </si>
  <si>
    <t>Area Vendite Gaming Machine</t>
  </si>
  <si>
    <t>Responsabile Vendite GM</t>
  </si>
  <si>
    <t>340-3326567</t>
  </si>
  <si>
    <t>28|1192|73|167|7|534|147|28|1147|0|||0</t>
  </si>
  <si>
    <t>LANDUCCI</t>
  </si>
  <si>
    <t>claudia.landucci@snaitech.it</t>
  </si>
  <si>
    <t>Direzione Marketing</t>
  </si>
  <si>
    <t>Area Retail Marketing</t>
  </si>
  <si>
    <t>Product Marketing Specialist</t>
  </si>
  <si>
    <t>GIOVANNI NICOLA IVAN CARTA</t>
  </si>
  <si>
    <t>28|848|74|205|7|790|164|28|1033|0|||0</t>
  </si>
  <si>
    <t>CLAUDIO</t>
  </si>
  <si>
    <t>DEL MASTRO</t>
  </si>
  <si>
    <t>claudio.delmastro@snaitech.it</t>
  </si>
  <si>
    <t>Direzione Affari Legali e Societari</t>
  </si>
  <si>
    <t>Funzione Contrattualistica</t>
  </si>
  <si>
    <t>Area Contrattualistica</t>
  </si>
  <si>
    <t>Esperto Contrattualistica</t>
  </si>
  <si>
    <t>ALESSANDRA AMENDOLA</t>
  </si>
  <si>
    <t>28|841|70|216|5050|846|323|28|1346|39|||0</t>
  </si>
  <si>
    <t>SP_Direzione_Affari_Legali_e_Societari</t>
  </si>
  <si>
    <t>DANIELE</t>
  </si>
  <si>
    <t>PETRONI</t>
  </si>
  <si>
    <t>daniele.petroni@snaitech.it</t>
  </si>
  <si>
    <t>Area AWP</t>
  </si>
  <si>
    <t>Responsabile AWP</t>
  </si>
  <si>
    <t>AGOSTINO ROMANO</t>
  </si>
  <si>
    <t>348-5950121</t>
  </si>
  <si>
    <t>28|1299|7309|27|5908|200|217|28|1311|78|||0</t>
  </si>
  <si>
    <t>DIEGO</t>
  </si>
  <si>
    <t>MARTINELLI</t>
  </si>
  <si>
    <t>Diego.Martinelli@snaitech.it</t>
  </si>
  <si>
    <t>BU Ippodromi</t>
  </si>
  <si>
    <t>Funzione Corse Ippodromi e Impianti Ippici</t>
  </si>
  <si>
    <t>Area Segreteria Ippica</t>
  </si>
  <si>
    <t>Addetto Segreteria Corse</t>
  </si>
  <si>
    <t>FABRIZIO PROCINO</t>
  </si>
  <si>
    <t>Milano - Via Caprilli, 30</t>
  </si>
  <si>
    <t>28|1365|9097|239|9|73|205|28|2150|0|||0</t>
  </si>
  <si>
    <t>SP_BU_Ippodromi</t>
  </si>
  <si>
    <t>DUCCIO</t>
  </si>
  <si>
    <t>GERONIMI</t>
  </si>
  <si>
    <t>duccio.geronimi@snaitech.it</t>
  </si>
  <si>
    <t>Funzione Sviluppo Prodotti e Innovazione Online</t>
  </si>
  <si>
    <t>Area Sviluppo Prodotti e Innovazione Online</t>
  </si>
  <si>
    <t>Responsabile Sviluppo Prodotti</t>
  </si>
  <si>
    <t>ALESSANDRO ALLARA</t>
  </si>
  <si>
    <t>366-6810178</t>
  </si>
  <si>
    <t>28|1042|172|195|5903|605|244|28|1051|74|||0</t>
  </si>
  <si>
    <t>ELENA</t>
  </si>
  <si>
    <t>DELL'IRA</t>
  </si>
  <si>
    <t>Elena.DellIra@snaitech.it</t>
  </si>
  <si>
    <t>Direzione Risorse Umane ed Organizzazione</t>
  </si>
  <si>
    <t>Funzione Property, Facility &amp; General Affairs</t>
  </si>
  <si>
    <t>Area Affari Generali, Segreteria e Travel</t>
  </si>
  <si>
    <t>Segretaria di Direzione</t>
  </si>
  <si>
    <t>MICHELA MIRMINA</t>
  </si>
  <si>
    <t>335-7556782</t>
  </si>
  <si>
    <t>28|9|68|162|5060|695|242|28|1276|10|||0</t>
  </si>
  <si>
    <t>SP_Direzione_Risorse_Umane_ed_Organizzazione</t>
  </si>
  <si>
    <t>ELISA</t>
  </si>
  <si>
    <t>RENZI</t>
  </si>
  <si>
    <t>elisa.renzi@snaitech.it</t>
  </si>
  <si>
    <t>Funzione Network &amp; ICT Security</t>
  </si>
  <si>
    <t>Area Network &amp; ICT Security</t>
  </si>
  <si>
    <t>Esperto Network Management</t>
  </si>
  <si>
    <t>ANTONINO CIRINNA'</t>
  </si>
  <si>
    <t>335-1044769</t>
  </si>
  <si>
    <t>28|175|7340|206|5300|813|40|28|116|0|||0</t>
  </si>
  <si>
    <t>ELISABETTA</t>
  </si>
  <si>
    <t>COCCIA</t>
  </si>
  <si>
    <t>elisabetta.coccia@snaitech.it</t>
  </si>
  <si>
    <t>Area Conduzione AWP</t>
  </si>
  <si>
    <t>Responsabile Conduzione AWP</t>
  </si>
  <si>
    <t>DANIELE PETRONI</t>
  </si>
  <si>
    <t>345-9953222</t>
  </si>
  <si>
    <t>28|1194|83|27|5908|518|237|28|1299|11|||0</t>
  </si>
  <si>
    <t>MANDRACCHIA</t>
  </si>
  <si>
    <t>elisabetta.mandracchia@snaitech.it</t>
  </si>
  <si>
    <t>Funzione Gaming</t>
  </si>
  <si>
    <t>Area Fraud &amp; Payments</t>
  </si>
  <si>
    <t>Responsabile Fraud &amp; Payments</t>
  </si>
  <si>
    <t>MICHELE CAMMARATA</t>
  </si>
  <si>
    <t>344-0408594</t>
  </si>
  <si>
    <t>28|850|154|194|5903|196|132|28|824|0|||0</t>
  </si>
  <si>
    <t>EMANUELE</t>
  </si>
  <si>
    <t>CAMPI</t>
  </si>
  <si>
    <t>emanuele.campi@snaitech.it</t>
  </si>
  <si>
    <t>Funzione PMO &amp; Governance IT</t>
  </si>
  <si>
    <t>Area Smart Working</t>
  </si>
  <si>
    <t>Responsabile Smart Working</t>
  </si>
  <si>
    <t>MARCO DORONI</t>
  </si>
  <si>
    <t>348-0013791</t>
  </si>
  <si>
    <t>28|1176|99|207|5300|626|59|28|228|0|||0</t>
  </si>
  <si>
    <t>FABIO</t>
  </si>
  <si>
    <t>MARI</t>
  </si>
  <si>
    <t>fabio.mari@snaitech.it</t>
  </si>
  <si>
    <t>Funzione Conduzione Operativa e Facility Ippodromi</t>
  </si>
  <si>
    <t>Area Conduzione Operativa e Facility Ippodromi</t>
  </si>
  <si>
    <t>Responsabile Conduzione Operativa e Facility Ippodromi</t>
  </si>
  <si>
    <t>STEFANO MARZULLO</t>
  </si>
  <si>
    <t>335-5748786</t>
  </si>
  <si>
    <t>28|2094|9155|240|9|1607|2|28|194|0|||0</t>
  </si>
  <si>
    <t>RICCI</t>
  </si>
  <si>
    <t>FABIO.RICCI@snaitech.it</t>
  </si>
  <si>
    <t>Direttore Retail Business Perf</t>
  </si>
  <si>
    <t>MARIACHIARA POLSELLI</t>
  </si>
  <si>
    <t>335-8101213</t>
  </si>
  <si>
    <t>28|98|170|221|5911|679|223|28|1304|0|||0</t>
  </si>
  <si>
    <t>SCHIAVOLIN</t>
  </si>
  <si>
    <t>fabio.schiavolin@snaitech.it</t>
  </si>
  <si>
    <t>General Manager</t>
  </si>
  <si>
    <t>348-0154789</t>
  </si>
  <si>
    <t>28|1142|1005|62|5005|845|169|28|1142|0|||0</t>
  </si>
  <si>
    <t>FABRIZIO</t>
  </si>
  <si>
    <t>PROCINO</t>
  </si>
  <si>
    <t>Fabrizio.Procino@snaitech.it</t>
  </si>
  <si>
    <t>Area Corse Ippodromi e Impianti Ippici</t>
  </si>
  <si>
    <t>Responsabile Corse Ippodromi e Impianti Ippici</t>
  </si>
  <si>
    <t>348-4460891</t>
  </si>
  <si>
    <t>28|2150|9154|239|9|1606|2|28|194|0|||0</t>
  </si>
  <si>
    <t>FEDERICO</t>
  </si>
  <si>
    <t>BASTONI</t>
  </si>
  <si>
    <t>FEDERICO.BASTONI@snaitech.it</t>
  </si>
  <si>
    <t>Funzione Acquisition</t>
  </si>
  <si>
    <t>Area Acquisition</t>
  </si>
  <si>
    <t>Responsabile Acquisition</t>
  </si>
  <si>
    <t>335-1234943</t>
  </si>
  <si>
    <t>28|300|49|178|5903|423|244|28|1051|0|||0</t>
  </si>
  <si>
    <t>PAOLONI</t>
  </si>
  <si>
    <t>federico.paoloni@snaitech.it</t>
  </si>
  <si>
    <t>Senior Area Manager</t>
  </si>
  <si>
    <t>CLAUDIA CICORIA</t>
  </si>
  <si>
    <t>28|1289|73|167|7|441|233|28|1192|0|||0</t>
  </si>
  <si>
    <t>VANNUCCI</t>
  </si>
  <si>
    <t>federico.vannucci@snaitech.it</t>
  </si>
  <si>
    <t>Funzione Pianificazione, Budget e Controllo</t>
  </si>
  <si>
    <t>Area Budget, Controllo e Reporting</t>
  </si>
  <si>
    <t>Responsabile Budget, Controllo e Reporting</t>
  </si>
  <si>
    <t>SEBASTIANO BOGNI</t>
  </si>
  <si>
    <t>346-8960322</t>
  </si>
  <si>
    <t>28|1041|9159|176|1|1603|252|28|1169|0|||0</t>
  </si>
  <si>
    <t>FRANCESCA</t>
  </si>
  <si>
    <t>PITZALIS</t>
  </si>
  <si>
    <t>francesca.pitzalis@snaitech.it</t>
  </si>
  <si>
    <t>Area Business Planning</t>
  </si>
  <si>
    <t>Business Planner Junior</t>
  </si>
  <si>
    <t>EMILIANO GIAMMARINO</t>
  </si>
  <si>
    <t>28|1302|9148|237|5909|829|355|28|1244|0|||0</t>
  </si>
  <si>
    <t>FRANCO</t>
  </si>
  <si>
    <t>PETRILLO</t>
  </si>
  <si>
    <t>franco.petrillo@snaitech.it</t>
  </si>
  <si>
    <t>Area Acquisti</t>
  </si>
  <si>
    <t>Responsabile Acquisti</t>
  </si>
  <si>
    <t>CHIAFFREDO STEFANO RINAUDO</t>
  </si>
  <si>
    <t>334-6403574</t>
  </si>
  <si>
    <t>28|1297|1085|11|1|287|214|28|1310|0|||0</t>
  </si>
  <si>
    <t>FURIO ANGELO</t>
  </si>
  <si>
    <t>BORGONOVO</t>
  </si>
  <si>
    <t>furio.borgonovo@snaitech.it</t>
  </si>
  <si>
    <t>Funzione Digital Transformation</t>
  </si>
  <si>
    <t>Area Digital Transformation</t>
  </si>
  <si>
    <t>Esperto Digital Transformation</t>
  </si>
  <si>
    <t>LUIGI GRECO</t>
  </si>
  <si>
    <t>335-1422688</t>
  </si>
  <si>
    <t>28|69|97|179|5300|717|225|28|1246|0|||0</t>
  </si>
  <si>
    <t>GIACOMO</t>
  </si>
  <si>
    <t>GALLUCCI</t>
  </si>
  <si>
    <t>giacomo.gallucci@snaitech.it</t>
  </si>
  <si>
    <t>Funzione Soluzioni</t>
  </si>
  <si>
    <t>Area Soluzioni Gaming Machine &amp; Servizi</t>
  </si>
  <si>
    <t>Responsabile Soluzioni GM&amp;Servizi</t>
  </si>
  <si>
    <t>28|1242|137|181|5300|627|17|28|86|65|||0</t>
  </si>
  <si>
    <t>GILDA</t>
  </si>
  <si>
    <t>DE SIMONE</t>
  </si>
  <si>
    <t>gilda.desimone@snaitech.it</t>
  </si>
  <si>
    <t>Funzione Affari Societari e Compliance</t>
  </si>
  <si>
    <t>Area Affari Legali e Societari</t>
  </si>
  <si>
    <t>Direttore Affari Legali e Soc.</t>
  </si>
  <si>
    <t>347-7531787</t>
  </si>
  <si>
    <t>28|1215|1050|163|5050|373|169|28|1142|0|||0</t>
  </si>
  <si>
    <t>GIOVANNANGELA</t>
  </si>
  <si>
    <t>ANTUONO</t>
  </si>
  <si>
    <t>Giovanna.Antuono@snaitech.it</t>
  </si>
  <si>
    <t>Funzione Amministrazione, Bilancio e Crediti</t>
  </si>
  <si>
    <t>Area Fatturazione Attiva Betting</t>
  </si>
  <si>
    <t>Addetto Fatt.ne Attiva Betting</t>
  </si>
  <si>
    <t>ELENA DIAN</t>
  </si>
  <si>
    <t>28|43|161|175|1|449|38|28|111|0|||0</t>
  </si>
  <si>
    <t>AGATA</t>
  </si>
  <si>
    <t>TARANTINO</t>
  </si>
  <si>
    <t>gisella.tarantino@snaitech.it</t>
  </si>
  <si>
    <t>Divisione/Direzione Customer Operations, Logistic &amp; Field S.</t>
  </si>
  <si>
    <t>Funzione Customer Operations, Logistics &amp; Field Services</t>
  </si>
  <si>
    <t>Area Customer Operations, Logistics &amp; Field Servic</t>
  </si>
  <si>
    <t>Direttore Customer Operations,</t>
  </si>
  <si>
    <t>ALESSANDRO GRAZIOSI</t>
  </si>
  <si>
    <t>335-5748812</t>
  </si>
  <si>
    <t>28|1328|9131|231|5912|798|352|28|1364|0|||0</t>
  </si>
  <si>
    <t>SP_Divisione_Direzione_Customer_Operations_Logistic_Field_S</t>
  </si>
  <si>
    <t>GIULIA</t>
  </si>
  <si>
    <t>MARSELLA</t>
  </si>
  <si>
    <t>GIULIA.MARSELLA@snaitech.it</t>
  </si>
  <si>
    <t>Funzione Conduzione Betting</t>
  </si>
  <si>
    <t>Area Conduzione</t>
  </si>
  <si>
    <t>Coordinatore Conduzione</t>
  </si>
  <si>
    <t>FABIO MARCHETTI</t>
  </si>
  <si>
    <t>335-7595322</t>
  </si>
  <si>
    <t>28|875|7328|220|5911|805|234|28|1266|0|||0</t>
  </si>
  <si>
    <t>GIUSEPPE</t>
  </si>
  <si>
    <t>TALARICO</t>
  </si>
  <si>
    <t>giuseppe.talarico@snaitech.it</t>
  </si>
  <si>
    <t>Area Media e Market Research</t>
  </si>
  <si>
    <t>Specialista Partnership Sport</t>
  </si>
  <si>
    <t>RICCARDO BARTOLA</t>
  </si>
  <si>
    <t>366-6049604</t>
  </si>
  <si>
    <t>28|2151|88|205|7|747|218|28|1163|0|||0</t>
  </si>
  <si>
    <t>GRAZIANO</t>
  </si>
  <si>
    <t>GIGLI</t>
  </si>
  <si>
    <t>graziano.gigli@snaitech.it</t>
  </si>
  <si>
    <t>Area Montecatini Servizi</t>
  </si>
  <si>
    <t>Addetto Gestione Piste</t>
  </si>
  <si>
    <t>MONTECATINI-TERME</t>
  </si>
  <si>
    <t>Montecatini Terme (PT) - V.le Cadorna, 30/B</t>
  </si>
  <si>
    <t>28|2133|9094|239|9|723|205|28|2150|0|||0</t>
  </si>
  <si>
    <t>GIOVANNI NICOLA IVAN</t>
  </si>
  <si>
    <t>CARTA</t>
  </si>
  <si>
    <t>ivan.carta@snaitech.it</t>
  </si>
  <si>
    <t>Responsabile Retail Marketing</t>
  </si>
  <si>
    <t>344-1905737</t>
  </si>
  <si>
    <t>28|1033|74|205|7|361|218|28|1163|0|||0</t>
  </si>
  <si>
    <t>IVAN</t>
  </si>
  <si>
    <t>DOVICO LUPO</t>
  </si>
  <si>
    <t>ivan.dovicolupo@snaitech.it</t>
  </si>
  <si>
    <t>Funzione Process Compliance</t>
  </si>
  <si>
    <t>Area Process Compliance</t>
  </si>
  <si>
    <t>Process Compliance Coordinator</t>
  </si>
  <si>
    <t>GUIDO DEGL'INNOCENTI</t>
  </si>
  <si>
    <t>345-2574254</t>
  </si>
  <si>
    <t>28|1225|79|169|5060|503|256|28|1217|48|||0</t>
  </si>
  <si>
    <t>LAURA</t>
  </si>
  <si>
    <t>CAMPOPIANO</t>
  </si>
  <si>
    <t>laura.campopiano@snaitech.it</t>
  </si>
  <si>
    <t>Funzione Business Development &amp; Communications</t>
  </si>
  <si>
    <t>Area Business Development &amp; Communications</t>
  </si>
  <si>
    <t>Direttore Business Development &amp; Communications</t>
  </si>
  <si>
    <t>335-8467785</t>
  </si>
  <si>
    <t>28|1177|9142|235|5909|834|169|28|1142|0|||0</t>
  </si>
  <si>
    <t>LAVINIA</t>
  </si>
  <si>
    <t>PUPELLI</t>
  </si>
  <si>
    <t>lavinia.pupelli@snaitech.it</t>
  </si>
  <si>
    <t>Funzione Risorse Umane e Organizzazione</t>
  </si>
  <si>
    <t>Area Risorse Umane e Organizzazione</t>
  </si>
  <si>
    <t>Direttore HR e Organizzazione</t>
  </si>
  <si>
    <t>345-8074811</t>
  </si>
  <si>
    <t>28|1307|135|8|5060|388|169|28|1142|29|||0</t>
  </si>
  <si>
    <t>LOREDANA</t>
  </si>
  <si>
    <t>D'ERRICO</t>
  </si>
  <si>
    <t>loredana.derrico@snaitech.it</t>
  </si>
  <si>
    <t>Specialista Conduzione Oper. AWP</t>
  </si>
  <si>
    <t>ELISABETTA COCCIA</t>
  </si>
  <si>
    <t>28|1206|83|27|5908|1636|245|28|1194|0|||0</t>
  </si>
  <si>
    <t>LORENZO</t>
  </si>
  <si>
    <t>STOPPINI</t>
  </si>
  <si>
    <t>LORENZO.STOPPINI@snaitech.it</t>
  </si>
  <si>
    <t>Area Offerta Prodotto Betting</t>
  </si>
  <si>
    <t>Direttore Offerta Prod Betting</t>
  </si>
  <si>
    <t>335-7863212</t>
  </si>
  <si>
    <t>28|19|7321|222|5911|427|223|28|1304|0|||0</t>
  </si>
  <si>
    <t>LUCA</t>
  </si>
  <si>
    <t>ANSELMI</t>
  </si>
  <si>
    <t>LUCA.ANSELMI@snaitech.it</t>
  </si>
  <si>
    <t>Area Gestione Credito e Valutazione Rischio Client</t>
  </si>
  <si>
    <t>Responsabile Gest. Credito/V.R</t>
  </si>
  <si>
    <t>LUCA SANTI</t>
  </si>
  <si>
    <t>338-6201235</t>
  </si>
  <si>
    <t>28|144|9078|175|1|691|82|28|887|0|||0</t>
  </si>
  <si>
    <t>SANTI</t>
  </si>
  <si>
    <t>luca.santi@snaitech.it</t>
  </si>
  <si>
    <t>Area Amministrazione, Bilancio e Crediti</t>
  </si>
  <si>
    <t>Direttore Amm,Bilancio Crediti</t>
  </si>
  <si>
    <t>348-7919302</t>
  </si>
  <si>
    <t>28|887|91|175|1|730|214|28|1310|8|||0</t>
  </si>
  <si>
    <t>LUCIA</t>
  </si>
  <si>
    <t>NIOI</t>
  </si>
  <si>
    <t>lucia.nioi@snaitech.it</t>
  </si>
  <si>
    <t>Funzione Compliance e Adempimenti Concessori e Normativi</t>
  </si>
  <si>
    <t>Area Compliance e Adempimenti Concessori e Normati</t>
  </si>
  <si>
    <t>Direttore Compliance e Adempimenti Concessori e Normativi</t>
  </si>
  <si>
    <t>GILDA DE SIMONE</t>
  </si>
  <si>
    <t>346-7245159</t>
  </si>
  <si>
    <t>28|899|9145|505|5050|836|227|28|1215|31|||0</t>
  </si>
  <si>
    <t>LUIGI</t>
  </si>
  <si>
    <t>GRECO</t>
  </si>
  <si>
    <t>luigi.greco@snaitech.it</t>
  </si>
  <si>
    <t>Responsabile Digital Transfor.</t>
  </si>
  <si>
    <t>335-7474931</t>
  </si>
  <si>
    <t>28|1246|97|179|5300|523|17|28|86|0|||0</t>
  </si>
  <si>
    <t>MANUEL</t>
  </si>
  <si>
    <t>LUCCHESI</t>
  </si>
  <si>
    <t>manuel.lucchesi@snaitech.it</t>
  </si>
  <si>
    <t>Funzione Trading</t>
  </si>
  <si>
    <t>Area Qualità Prodotti Betting</t>
  </si>
  <si>
    <t>Specialista qualità prodotti betting</t>
  </si>
  <si>
    <t>PAOLO VOLPE</t>
  </si>
  <si>
    <t>28|956|9110|218|5903|1638|235|28|1343|0|||0</t>
  </si>
  <si>
    <t>MANUELA</t>
  </si>
  <si>
    <t>PALLA</t>
  </si>
  <si>
    <t>MANUELA.PALLA@snaitech.it</t>
  </si>
  <si>
    <t>Referente Media Planning e Rep</t>
  </si>
  <si>
    <t>346-0808036</t>
  </si>
  <si>
    <t>28|335|88|205|7|792|218|28|1163|0|||0</t>
  </si>
  <si>
    <t>MARCO</t>
  </si>
  <si>
    <t>BOZZI</t>
  </si>
  <si>
    <t>marco.bozzi@snaitech.it</t>
  </si>
  <si>
    <t>Funzione Tesoreria</t>
  </si>
  <si>
    <t>Area Tesoreria</t>
  </si>
  <si>
    <t>Direttore Tesoreria</t>
  </si>
  <si>
    <t>340-8767187</t>
  </si>
  <si>
    <t>28|1170|140|173|1|740|214|28|1310|83|||0</t>
  </si>
  <si>
    <t>D'ANDREA</t>
  </si>
  <si>
    <t>marco.dandrea@snaitech.it</t>
  </si>
  <si>
    <t>Funzione Antiriciclaggio</t>
  </si>
  <si>
    <t>Area Antiriciclaggio</t>
  </si>
  <si>
    <t>Coordinatore Antiriciclaggio</t>
  </si>
  <si>
    <t>WALTER CIAMPI</t>
  </si>
  <si>
    <t>28|1205|65|160|12|606|85|28|140|0|||0</t>
  </si>
  <si>
    <t>SP_Funzione_Antiriciclaggio</t>
  </si>
  <si>
    <t>TEDESCHI</t>
  </si>
  <si>
    <t>marco.tedeschi@snaitech.it</t>
  </si>
  <si>
    <t>Area ICT Security Management</t>
  </si>
  <si>
    <t>ICT Security Manager</t>
  </si>
  <si>
    <t>348-5919333</t>
  </si>
  <si>
    <t>28|1329|9137|206|5300|807|40|28|116|0|||0</t>
  </si>
  <si>
    <t>MARIACHIARA</t>
  </si>
  <si>
    <t>POLSELLI</t>
  </si>
  <si>
    <t>mariachiara.polselli@snaitech.it</t>
  </si>
  <si>
    <t>Funzione Betting Retail</t>
  </si>
  <si>
    <t>Area Betting Retail</t>
  </si>
  <si>
    <t>Direttore BU Betting Retail</t>
  </si>
  <si>
    <t>347-6104228</t>
  </si>
  <si>
    <t>28|1304|9111|219|5911|755|352|28|1364|0|||0</t>
  </si>
  <si>
    <t>MARIANGELA</t>
  </si>
  <si>
    <t>MERENDINO</t>
  </si>
  <si>
    <t>mariangela.merendino@snaitech.it</t>
  </si>
  <si>
    <t>Funzione Sviluppo Risorse Umane</t>
  </si>
  <si>
    <t>Area Sviluppo Risorse Umane</t>
  </si>
  <si>
    <t>Responsabile Sviluppo HR</t>
  </si>
  <si>
    <t>LAVINIA PUPELLI</t>
  </si>
  <si>
    <t>366-5713701</t>
  </si>
  <si>
    <t>28|1273|4060|43|5060|397|212|28|1307|25|||0</t>
  </si>
  <si>
    <t>MARIO</t>
  </si>
  <si>
    <t>LUISI</t>
  </si>
  <si>
    <t>mario.luisi@snaitech.it</t>
  </si>
  <si>
    <t>Area Conduzione VLT</t>
  </si>
  <si>
    <t>Responsabile Conduzione VLT</t>
  </si>
  <si>
    <t>ROSA DE MATTEO</t>
  </si>
  <si>
    <t>345-2167573</t>
  </si>
  <si>
    <t>28|1258|6309|47|5908|519|255|28|1214|0|||0</t>
  </si>
  <si>
    <t>MASSIMO</t>
  </si>
  <si>
    <t>massimo.coccia@snaitech.it</t>
  </si>
  <si>
    <t>Area Conduzione AWP - Reparto Back Office AWP</t>
  </si>
  <si>
    <t>Addetto Back Office AWP</t>
  </si>
  <si>
    <t>ADRIANA MARCHESANO</t>
  </si>
  <si>
    <t>28|1195|9076|27|5908|456|241|28|1265|1|||0</t>
  </si>
  <si>
    <t>NURA</t>
  </si>
  <si>
    <t>massimo.nura@snaitech.it</t>
  </si>
  <si>
    <t>Customer Relationship &amp; Payment Services Management</t>
  </si>
  <si>
    <t>Area Servizi Commerciali</t>
  </si>
  <si>
    <t>Customer Rel &amp; Payment S. Manager</t>
  </si>
  <si>
    <t>PIERPAOLO ANTONELLI</t>
  </si>
  <si>
    <t>340-3316690</t>
  </si>
  <si>
    <t>28|1280|46|243|7|1656|149|28|1024|0|||0</t>
  </si>
  <si>
    <t>MAURO</t>
  </si>
  <si>
    <t>SALA</t>
  </si>
  <si>
    <t>mauro.sala@snaitech.it</t>
  </si>
  <si>
    <t>Funzione Logistic &amp; HW Maintenance</t>
  </si>
  <si>
    <t>Area Logistic &amp; HW Maintenance</t>
  </si>
  <si>
    <t>Responsabile Logistic&amp;HWMaint.</t>
  </si>
  <si>
    <t>AGATA TARANTINO</t>
  </si>
  <si>
    <t>PESCHIERA BORROMEO</t>
  </si>
  <si>
    <t>Peschiera Borromeo (MI)  - Via Walter Tobagi, 10/12</t>
  </si>
  <si>
    <t>349-7251689</t>
  </si>
  <si>
    <t>28|1317|9128|227|5912|801|215|28|1328|3|||0</t>
  </si>
  <si>
    <t>MICHELA</t>
  </si>
  <si>
    <t>MIRMINA</t>
  </si>
  <si>
    <t>michela.mirmina@snaitech.it</t>
  </si>
  <si>
    <t>Responsabile AffGen/Segr/Trav.</t>
  </si>
  <si>
    <t>345-5833062</t>
  </si>
  <si>
    <t>28|1276|68|162|5060|511|256|28|1217|0|||0</t>
  </si>
  <si>
    <t>MICHELE</t>
  </si>
  <si>
    <t>AGUECI</t>
  </si>
  <si>
    <t>michele.agueci@snaitech.it</t>
  </si>
  <si>
    <t>Area Online Brand &amp; Editorial</t>
  </si>
  <si>
    <t>Responsabile Online Brand &amp; Editorial</t>
  </si>
  <si>
    <t>FEDERICO BASTONI</t>
  </si>
  <si>
    <t>335-7661268</t>
  </si>
  <si>
    <t>28|52|173|178|5903|842|47|28|300|0|||0</t>
  </si>
  <si>
    <t>SESSA</t>
  </si>
  <si>
    <t>michele.sessa@snaitech.it</t>
  </si>
  <si>
    <t>Direzione Institutional &amp; Regulatory Affairs</t>
  </si>
  <si>
    <t>Funzione Institutional &amp; Regulatory Affairs</t>
  </si>
  <si>
    <t>Area Institutional &amp; Regulatory Affairs</t>
  </si>
  <si>
    <t>Direttore Institutional &amp; Regulatory Affairs</t>
  </si>
  <si>
    <t>328-7480780</t>
  </si>
  <si>
    <t>28|1322|9140|233|5907|832|169|28|1142|0|||0</t>
  </si>
  <si>
    <t>SP_Direzione_Institutional_Regulatory_Affairs</t>
  </si>
  <si>
    <t>MILENA</t>
  </si>
  <si>
    <t>GIANNETTI</t>
  </si>
  <si>
    <t>milena.giannetti@snaitech.it</t>
  </si>
  <si>
    <t>Funzione Privacy</t>
  </si>
  <si>
    <t>Area Privacy</t>
  </si>
  <si>
    <t>Responsabile Privacy</t>
  </si>
  <si>
    <t>340-3875506</t>
  </si>
  <si>
    <t>28|846|9146|238|5050|837|227|28|1215|21|||0</t>
  </si>
  <si>
    <t>MORGAN</t>
  </si>
  <si>
    <t>RICCIARDI</t>
  </si>
  <si>
    <t>MORGAN.RICCIARDI@snaitech.it</t>
  </si>
  <si>
    <t>Funzione ICT</t>
  </si>
  <si>
    <t>Area ICT</t>
  </si>
  <si>
    <t>Direttore ICT</t>
  </si>
  <si>
    <t>335-6372080</t>
  </si>
  <si>
    <t>28|86|1300|17|5300|266|169|28|1142|0|||0</t>
  </si>
  <si>
    <t>NICOLA</t>
  </si>
  <si>
    <t>MILETTI</t>
  </si>
  <si>
    <t>nicola.miletti@snaitech.it</t>
  </si>
  <si>
    <t>Analista Programmatore</t>
  </si>
  <si>
    <t>GIACOMO GALLUCCI</t>
  </si>
  <si>
    <t>337-1045600</t>
  </si>
  <si>
    <t>28|1275|137|181|5300|475|249|28|1242|58|||0</t>
  </si>
  <si>
    <t>PAOLO MARIO</t>
  </si>
  <si>
    <t>BERTOCCHI</t>
  </si>
  <si>
    <t>paolo.bertocchi@snaitech.it</t>
  </si>
  <si>
    <t>Area Trading</t>
  </si>
  <si>
    <t>Responsabile Trading</t>
  </si>
  <si>
    <t>344-2632162</t>
  </si>
  <si>
    <t>28|1135|133|218|5903|749|244|28|1051|0|||0</t>
  </si>
  <si>
    <t>PAOLO</t>
  </si>
  <si>
    <t>NAPPINI</t>
  </si>
  <si>
    <t>paolo.nappini@snaitech.it</t>
  </si>
  <si>
    <t>Area Soluzioni Betting &amp; Online</t>
  </si>
  <si>
    <t>Responsabile Soluzioni Betting</t>
  </si>
  <si>
    <t>335-5750119</t>
  </si>
  <si>
    <t>28|105|104|181|5300|439|17|28|86|0|||0</t>
  </si>
  <si>
    <t>VOLPE</t>
  </si>
  <si>
    <t>paolo.volpe@snaitech.it</t>
  </si>
  <si>
    <t>Responsabile QualitàProd.Bett.</t>
  </si>
  <si>
    <t>PAOLO MARIO BERTOCCHI</t>
  </si>
  <si>
    <t>349-5585189</t>
  </si>
  <si>
    <t>28|1343|9110|218|5903|612|347|28|1135|0|||0</t>
  </si>
  <si>
    <t>PATRIZIA</t>
  </si>
  <si>
    <t>ORLANDO</t>
  </si>
  <si>
    <t>patrizia.orlando@snaitech.it</t>
  </si>
  <si>
    <t>Area Fatturazione Attiva Gaming Machine</t>
  </si>
  <si>
    <t>Responsabile Fatt.ne Att. GM</t>
  </si>
  <si>
    <t>28|1283|7314|175|1|572|82|28|887|32|||0</t>
  </si>
  <si>
    <t>PIERPAOLO</t>
  </si>
  <si>
    <t>ANTONELLI</t>
  </si>
  <si>
    <t>pierpaolo.antonelli@snaitech.it</t>
  </si>
  <si>
    <t>Funzione Commerciale</t>
  </si>
  <si>
    <t>Area Commerciale</t>
  </si>
  <si>
    <t>Direttore Commerciale</t>
  </si>
  <si>
    <t>335-5748821</t>
  </si>
  <si>
    <t>28|1024|89|174|7|370|169|28|1142|0|||0</t>
  </si>
  <si>
    <t>PINO</t>
  </si>
  <si>
    <t>CORTESE</t>
  </si>
  <si>
    <t>pino.cortese@snaitech.it</t>
  </si>
  <si>
    <t>Area Conduzione VLT - Reparto Back Office VLT</t>
  </si>
  <si>
    <t>Coordinatore Back Office VLT</t>
  </si>
  <si>
    <t>MARIO LUISI</t>
  </si>
  <si>
    <t>28|1202|141|47|5908|481|247|28|1258|24|||0</t>
  </si>
  <si>
    <t>RENATO CLAUDIO</t>
  </si>
  <si>
    <t>CHINI</t>
  </si>
  <si>
    <t>renato.chini@snaitech.it</t>
  </si>
  <si>
    <t>Funzione Risk Management</t>
  </si>
  <si>
    <t>Area Risk Management</t>
  </si>
  <si>
    <t>Risk Manager</t>
  </si>
  <si>
    <t>348-9938098</t>
  </si>
  <si>
    <t>28|1190|7319|193|5056|622|169|28|1142|0|||0</t>
  </si>
  <si>
    <t>SP_Funzione_Risk_Management</t>
  </si>
  <si>
    <t>RICCARDO</t>
  </si>
  <si>
    <t>BARTOLA</t>
  </si>
  <si>
    <t>riccardo.bartola@snaitech.it</t>
  </si>
  <si>
    <t>Area Marketing</t>
  </si>
  <si>
    <t>Direttore Marketing</t>
  </si>
  <si>
    <t>347-0147309</t>
  </si>
  <si>
    <t>28|1163|1306|205|7|647|149|28|1024|0|||0</t>
  </si>
  <si>
    <t>riccardo.sala@snaitech.it</t>
  </si>
  <si>
    <t>Area Acquisti Real Estate</t>
  </si>
  <si>
    <t>Responsabile Acqui.Real Estate</t>
  </si>
  <si>
    <t>348-2687533</t>
  </si>
  <si>
    <t>28|1007|165|11|1|576|239|28|1297|0|||0</t>
  </si>
  <si>
    <t>SARA</t>
  </si>
  <si>
    <t>BELLUZZI</t>
  </si>
  <si>
    <t>sara.belluzzi@snaitech.it</t>
  </si>
  <si>
    <t>Funzione Communications</t>
  </si>
  <si>
    <t>Area Communications</t>
  </si>
  <si>
    <t>Communications Manager</t>
  </si>
  <si>
    <t>349-3825605</t>
  </si>
  <si>
    <t>28|1166|9143|236|5909|1574|213|28|1177|0|||0</t>
  </si>
  <si>
    <t>SEBASTIANO</t>
  </si>
  <si>
    <t>BOGNI</t>
  </si>
  <si>
    <t>sebastiano.bogni@snaitech.it</t>
  </si>
  <si>
    <t>Area Pianificazione Budget e Controllo</t>
  </si>
  <si>
    <t>Direttore Pian/Budget/Controll</t>
  </si>
  <si>
    <t>348-7226006</t>
  </si>
  <si>
    <t>28|1169|7316|176|1|731|214|28|1310|0|||0</t>
  </si>
  <si>
    <t>SERENA</t>
  </si>
  <si>
    <t>MESCHI</t>
  </si>
  <si>
    <t>SERENA.MESCHI@snaitech.it</t>
  </si>
  <si>
    <t>Area Bilancio, Adempimenti Fiscali e Fatturazione</t>
  </si>
  <si>
    <t>Responsabile Bilan/Ad.Fisc./FP</t>
  </si>
  <si>
    <t>366-6597554</t>
  </si>
  <si>
    <t>28|100|7338|175|1|570|82|28|887|0|||0</t>
  </si>
  <si>
    <t>SILVANA</t>
  </si>
  <si>
    <t>FERRUCCI</t>
  </si>
  <si>
    <t>silvana.ferrucci@snaitech.it</t>
  </si>
  <si>
    <t>Funzione Organizzazione</t>
  </si>
  <si>
    <t>Area Organizzazione</t>
  </si>
  <si>
    <t>Responsabile Organizzazione</t>
  </si>
  <si>
    <t>342-7652636</t>
  </si>
  <si>
    <t>28|925|66|161|5060|400|212|28|1307|0|||0</t>
  </si>
  <si>
    <t>SIMONA</t>
  </si>
  <si>
    <t>ANTONIONI</t>
  </si>
  <si>
    <t>SIMONA.ANTONIONI@snaitech.it</t>
  </si>
  <si>
    <t>Funzione Affari Societari</t>
  </si>
  <si>
    <t>Area Affari Societari</t>
  </si>
  <si>
    <t>Responsabile Affari Societari</t>
  </si>
  <si>
    <t>344-0605813</t>
  </si>
  <si>
    <t>28|342|2050|200|5050|289|227|28|1215|25|||0</t>
  </si>
  <si>
    <t>STEFANO</t>
  </si>
  <si>
    <t>DI FEO</t>
  </si>
  <si>
    <t>stefano.difeo@snaitech.it</t>
  </si>
  <si>
    <t>Area District Management - DM Nord Ovest</t>
  </si>
  <si>
    <t>District Manager</t>
  </si>
  <si>
    <t>28|1043|9166|167|7|616|4|28|1147|0|||0</t>
  </si>
  <si>
    <t>MARZULLO</t>
  </si>
  <si>
    <t>STEFANO.MARZULLO@snaitech.it</t>
  </si>
  <si>
    <t>Funzione Ippodromi</t>
  </si>
  <si>
    <t>Area Ippodromi</t>
  </si>
  <si>
    <t>Direttore BU Ippodromi</t>
  </si>
  <si>
    <t>335-7488414</t>
  </si>
  <si>
    <t>28|194|7334|199|9|371|169|28|1142|0|||0</t>
  </si>
  <si>
    <t>ROSSI</t>
  </si>
  <si>
    <t>stefano.rossi@snaitech.it</t>
  </si>
  <si>
    <t>Area After Market Betting</t>
  </si>
  <si>
    <t>Coordinatore After MarketBett.</t>
  </si>
  <si>
    <t>28|1312|9114|220|5911|649|234|28|1266|0|||0</t>
  </si>
  <si>
    <t>ZOILA TAMARA</t>
  </si>
  <si>
    <t>GARCIA</t>
  </si>
  <si>
    <t>Tamara.Garcia@snaitech.it</t>
  </si>
  <si>
    <t>Area Grafica e Web Design</t>
  </si>
  <si>
    <t>Addetto Mark.Grafica/Design</t>
  </si>
  <si>
    <t>28|1136|87|205|7|432|218|28|1163|0|||0</t>
  </si>
  <si>
    <t>TANIA</t>
  </si>
  <si>
    <t>BUONCRISTIANI</t>
  </si>
  <si>
    <t>tania.buoncristiani@snaitech.it</t>
  </si>
  <si>
    <t>342-6567406</t>
  </si>
  <si>
    <t>28|553|68|162|5060|695|242|28|1276|67|||0</t>
  </si>
  <si>
    <t>TIZIANA</t>
  </si>
  <si>
    <t>PANELLI</t>
  </si>
  <si>
    <t>TIZIANA.PANELLI@snaitech.it</t>
  </si>
  <si>
    <t>Funzione Internal Audit</t>
  </si>
  <si>
    <t>Area Internal Audit</t>
  </si>
  <si>
    <t>Responsabile Internal Audit</t>
  </si>
  <si>
    <t>335-7124974</t>
  </si>
  <si>
    <t>28|149|179|208|14|676|169|28|1142|80|||0</t>
  </si>
  <si>
    <t>SP_Funzione_Internal_Audit</t>
  </si>
  <si>
    <t>VALENTINA</t>
  </si>
  <si>
    <t>MAGNANI</t>
  </si>
  <si>
    <t>valentina.magnani@snaitech.it</t>
  </si>
  <si>
    <t>Funzione Amministrazione e Gestione del Personale</t>
  </si>
  <si>
    <t>Area Amministrazione e Gestione del Personale</t>
  </si>
  <si>
    <t>Coordinatore AmministrazioneHR</t>
  </si>
  <si>
    <t>CECILIA FERRO</t>
  </si>
  <si>
    <t>28|571|2060|25|5060|739|9|28|121|0|||0</t>
  </si>
  <si>
    <t>VINCENZO</t>
  </si>
  <si>
    <t>NOVIELLO</t>
  </si>
  <si>
    <t>vincenzo.noviello@snaitech.it</t>
  </si>
  <si>
    <t>Area Vendite</t>
  </si>
  <si>
    <t>Direttore Vendite</t>
  </si>
  <si>
    <t>335-7417829</t>
  </si>
  <si>
    <t>28|1147|7339|167|7|273|149|28|1024|0|||0</t>
  </si>
  <si>
    <t>VITTORIO</t>
  </si>
  <si>
    <t>VEZZOLI</t>
  </si>
  <si>
    <t>Vittorio.Vezzoli@snaitech.it</t>
  </si>
  <si>
    <t>Area Milano Servizi</t>
  </si>
  <si>
    <t>Responsabile Milano Servizi</t>
  </si>
  <si>
    <t>28|2109|9092|239|9|1611|205|28|2150|0|||0</t>
  </si>
  <si>
    <t>WALTER</t>
  </si>
  <si>
    <t>CIAMPI</t>
  </si>
  <si>
    <t>walter.ciampi@snaitech.it</t>
  </si>
  <si>
    <t>Responsabile Funzione AML</t>
  </si>
  <si>
    <t>334-6490978</t>
  </si>
  <si>
    <t>28|140|65|160|12|385|169|28|1142|0|||0</t>
  </si>
  <si>
    <t>Owner</t>
  </si>
  <si>
    <t>*</t>
  </si>
  <si>
    <t>SA6:Q12P_BU_Gaming_Machine</t>
  </si>
  <si>
    <t>Fabio Schiavolin</t>
  </si>
  <si>
    <t>Stefano Marzullo</t>
  </si>
  <si>
    <t>Laura Campopiano</t>
  </si>
  <si>
    <t>Pierpaolo Antonelli</t>
  </si>
  <si>
    <t>Morgan Ricciardi</t>
  </si>
  <si>
    <t>Michele Sessa</t>
  </si>
  <si>
    <t>Lavinia Pupelli</t>
  </si>
  <si>
    <t>Alessandro Graziosi</t>
  </si>
  <si>
    <t>Mariachiara Polselli</t>
  </si>
  <si>
    <t>Agata Tarantino</t>
  </si>
  <si>
    <t>Walter Ciampi</t>
  </si>
  <si>
    <t>Tiziana Panelli</t>
  </si>
  <si>
    <t>Renato Claudio Chini</t>
  </si>
  <si>
    <t>Agostino Romano</t>
  </si>
  <si>
    <t>Alessandro Allara</t>
  </si>
  <si>
    <t>Gilda De Simone</t>
  </si>
  <si>
    <t>Chiaffredo Stefano Rinaudo</t>
  </si>
  <si>
    <t xml:space="preserve">Amministratore Delegato </t>
  </si>
  <si>
    <t xml:space="preserve">Area AWP </t>
  </si>
  <si>
    <t xml:space="preserve">Area AWP Dirette </t>
  </si>
  <si>
    <t xml:space="preserve">Area Acquisition </t>
  </si>
  <si>
    <t xml:space="preserve">Area Acquisti </t>
  </si>
  <si>
    <t xml:space="preserve">Area Acquisti Business &amp; Staff </t>
  </si>
  <si>
    <t xml:space="preserve">Area Acquisti Real Estate </t>
  </si>
  <si>
    <t xml:space="preserve">Area Affari Generali, Segreteria e Travel </t>
  </si>
  <si>
    <t xml:space="preserve">Area Affari Legali e Societari </t>
  </si>
  <si>
    <t xml:space="preserve">Area Affari Societari </t>
  </si>
  <si>
    <t xml:space="preserve">Area After Market Betting </t>
  </si>
  <si>
    <t xml:space="preserve">Area Amministrazione e Gestione del Personale </t>
  </si>
  <si>
    <t xml:space="preserve">Area Amministrazione, Bilancio e Crediti </t>
  </si>
  <si>
    <t xml:space="preserve">Area Amministrazione, Finanza e Controllo </t>
  </si>
  <si>
    <t xml:space="preserve">Area Antiriciclaggio </t>
  </si>
  <si>
    <t xml:space="preserve">Area Betting Retail </t>
  </si>
  <si>
    <t xml:space="preserve">Area Betting Retail &amp; Customer Operations </t>
  </si>
  <si>
    <t xml:space="preserve">Area Bilancio, Adempimenti Fiscali e Fatturazione </t>
  </si>
  <si>
    <t xml:space="preserve">Area Budget, Controllo e Reporting </t>
  </si>
  <si>
    <t xml:space="preserve">Area Business Development &amp; Communications </t>
  </si>
  <si>
    <t xml:space="preserve">Area Business Planning </t>
  </si>
  <si>
    <t xml:space="preserve">Area Commerciale </t>
  </si>
  <si>
    <t xml:space="preserve">Area Communications </t>
  </si>
  <si>
    <t xml:space="preserve">Area Compliance e Adempimenti Concessori e Normati </t>
  </si>
  <si>
    <t xml:space="preserve">Area Conduzione </t>
  </si>
  <si>
    <t xml:space="preserve">Area Conduzione AWP </t>
  </si>
  <si>
    <t xml:space="preserve">Area Conduzione AWP - Reparto Back Office AWP </t>
  </si>
  <si>
    <t xml:space="preserve">Area Conduzione Operativa e Facility Ippodromi </t>
  </si>
  <si>
    <t xml:space="preserve">Area Conduzione VLT </t>
  </si>
  <si>
    <t xml:space="preserve">Area Conduzione VLT - Reparto After Market VLT </t>
  </si>
  <si>
    <t xml:space="preserve">Area Conduzione VLT - Reparto Back Office VLT </t>
  </si>
  <si>
    <t xml:space="preserve">Area Contrattualistica </t>
  </si>
  <si>
    <t xml:space="preserve">Area Corse Ippodromi e Impianti Ippici </t>
  </si>
  <si>
    <t xml:space="preserve">Area Customer Operations, Logistics &amp; Field Servic </t>
  </si>
  <si>
    <t xml:space="preserve">Area Digital Transformation </t>
  </si>
  <si>
    <t xml:space="preserve">Area District Management - DM Nord Ovest </t>
  </si>
  <si>
    <t xml:space="preserve">Area District Management - DM Sud </t>
  </si>
  <si>
    <t xml:space="preserve">Area Fatturazione Attiva Betting </t>
  </si>
  <si>
    <t xml:space="preserve">Area Fatturazione Attiva Gaming Machine </t>
  </si>
  <si>
    <t xml:space="preserve">Area Fraud &amp; Payments </t>
  </si>
  <si>
    <t xml:space="preserve">Area Gaming Machine </t>
  </si>
  <si>
    <t xml:space="preserve">Area Gestione Credito e Valutazione Rischio Client </t>
  </si>
  <si>
    <t xml:space="preserve">Area Grafica e Web Design </t>
  </si>
  <si>
    <t xml:space="preserve">Area ICT </t>
  </si>
  <si>
    <t xml:space="preserve">Area ICT Security Management </t>
  </si>
  <si>
    <t xml:space="preserve">Area Information Technology Services Management </t>
  </si>
  <si>
    <t xml:space="preserve">Area Institutional &amp; Regulatory Affairs </t>
  </si>
  <si>
    <t xml:space="preserve">Area Internal Audit </t>
  </si>
  <si>
    <t xml:space="preserve">Area Ippodromi </t>
  </si>
  <si>
    <t xml:space="preserve">Area Logistic &amp; HW Maintenance </t>
  </si>
  <si>
    <t xml:space="preserve">Area Marketing </t>
  </si>
  <si>
    <t xml:space="preserve">Area Media e Market Research </t>
  </si>
  <si>
    <t xml:space="preserve">Area Milano Servizi </t>
  </si>
  <si>
    <t xml:space="preserve">Area Montecatini Servizi </t>
  </si>
  <si>
    <t xml:space="preserve">Area Network &amp; ICT Security </t>
  </si>
  <si>
    <t xml:space="preserve">Area Offerta Prodotto Betting </t>
  </si>
  <si>
    <t xml:space="preserve">Area Online Brand &amp; Editorial </t>
  </si>
  <si>
    <t xml:space="preserve">Area Organizzazione </t>
  </si>
  <si>
    <t xml:space="preserve">Area Pianificazione Budget e Controllo </t>
  </si>
  <si>
    <t xml:space="preserve">Area Privacy </t>
  </si>
  <si>
    <t xml:space="preserve">Area Process Compliance </t>
  </si>
  <si>
    <t xml:space="preserve">Area Product Management Sport </t>
  </si>
  <si>
    <t xml:space="preserve">Area Project Management </t>
  </si>
  <si>
    <t xml:space="preserve">Area Qualità Prodotti Betting </t>
  </si>
  <si>
    <t xml:space="preserve">Area Retail Business Performance </t>
  </si>
  <si>
    <t xml:space="preserve">Area Retail Marketing </t>
  </si>
  <si>
    <t xml:space="preserve">Area Risk Management </t>
  </si>
  <si>
    <t xml:space="preserve">Area Risorse Umane e Organizzazione </t>
  </si>
  <si>
    <t xml:space="preserve">Area Segreteria Ippica </t>
  </si>
  <si>
    <t xml:space="preserve">Area Servizi Commerciali </t>
  </si>
  <si>
    <t xml:space="preserve">Area Smart Working </t>
  </si>
  <si>
    <t>Office (Divisione)</t>
  </si>
  <si>
    <t>Department (Reparto)</t>
  </si>
  <si>
    <t>Gruppo SP</t>
  </si>
  <si>
    <t>SP_Area_AWP</t>
  </si>
  <si>
    <t>SP_Area_AWP_Dirette</t>
  </si>
  <si>
    <t>SP_Area_Acquisition</t>
  </si>
  <si>
    <t>SP_Area_Acquisti</t>
  </si>
  <si>
    <t>SP_Area_Acquisti_Business_Staff</t>
  </si>
  <si>
    <t>SP_Area_Acquisti_Real_Estate</t>
  </si>
  <si>
    <t>SP_Area_Affari_Generali_Segreteria_e_Travel</t>
  </si>
  <si>
    <t>SP_Area_Affari_Legali_e_Societari</t>
  </si>
  <si>
    <t>SP_Area_Affari_Societari</t>
  </si>
  <si>
    <t>SP_Area_After_Market_Betting</t>
  </si>
  <si>
    <t>SP_Area_Amministrazione_e_Gestione_del_Personale</t>
  </si>
  <si>
    <t>SP_Area_Amministrazione_Bilancio_e_Crediti</t>
  </si>
  <si>
    <t>SP_Area_Amministrazione_Finanza_e_Controllo</t>
  </si>
  <si>
    <t>SP_Area_Antiriciclaggio</t>
  </si>
  <si>
    <t>SP_Area_Betting_Retail</t>
  </si>
  <si>
    <t>SP_Area_Betting_Retail_Customer_Operations</t>
  </si>
  <si>
    <t>SP_Area_Bilancio_Adempimenti_Fiscali_e_Fatturazione</t>
  </si>
  <si>
    <t>SP_Area_Budget_Controllo_e_Reporting</t>
  </si>
  <si>
    <t>SP_Area_Business_Development_Communications</t>
  </si>
  <si>
    <t>SP_Area_Business_Planning</t>
  </si>
  <si>
    <t>SP_Area_Commerciale</t>
  </si>
  <si>
    <t>SP_Area_Communications</t>
  </si>
  <si>
    <t>SP_Area_Compliance_e_Adempimenti_Concessori_e_Normati</t>
  </si>
  <si>
    <t>SP_Area_Conduzione</t>
  </si>
  <si>
    <t>SP_Area_Conduzione_AWP</t>
  </si>
  <si>
    <t>SP_Area_Conduzione_AWP_Reparto_Back_Office_AWP</t>
  </si>
  <si>
    <t>SP_Area_Conduzione_Operativa_e_Facility_Ippodromi</t>
  </si>
  <si>
    <t>SP_Area_Conduzione_VLT</t>
  </si>
  <si>
    <t>SP_Area_Conduzione_VLT_Reparto_After_Market_VLT</t>
  </si>
  <si>
    <t>SP_Area_Conduzione_VLT_Reparto_Back_Office_VLT</t>
  </si>
  <si>
    <t>SP_Area_Contrattualistica</t>
  </si>
  <si>
    <t>SP_Area_Corse_Ippodromi_e_Impianti_Ippici</t>
  </si>
  <si>
    <t>SP_Area_Customer_Operations_Logistics_Field_Servic</t>
  </si>
  <si>
    <t>SP_Area_Digital_Transformation</t>
  </si>
  <si>
    <t>SP_Area_District_Management_DM_Nord_Ovest</t>
  </si>
  <si>
    <t>SP_Area_District_Management_DM_Sud</t>
  </si>
  <si>
    <t>SP_Area_Fatturazione_Attiva_Betting</t>
  </si>
  <si>
    <t>SP_Area_Fatturazione_Attiva_Gaming_Machine</t>
  </si>
  <si>
    <t>SP_Area_Fraud_Payments</t>
  </si>
  <si>
    <t>SP_Area_Gaming_Machine</t>
  </si>
  <si>
    <t>SP_Area_Gestione_Credito_e_Valutazione_Rischio_Client</t>
  </si>
  <si>
    <t>SP_Area_Grafica_e_Web_Design</t>
  </si>
  <si>
    <t>SP_Area_ICT</t>
  </si>
  <si>
    <t>SP_Area_ICT_Security_Management</t>
  </si>
  <si>
    <t>SP_Area_Information_Technology_Services_Management</t>
  </si>
  <si>
    <t>SP_Area_Institutional_Regulatory_Affairs</t>
  </si>
  <si>
    <t>SP_Area_Internal_Audit</t>
  </si>
  <si>
    <t>SP_Area_Ippodromi</t>
  </si>
  <si>
    <t>SP_Area_Logistic_HW_Maintenance</t>
  </si>
  <si>
    <t>SP_Area_Marketing</t>
  </si>
  <si>
    <t>SP_Area_Media_e_Market_Research</t>
  </si>
  <si>
    <t>SP_Area_Milano_Servizi</t>
  </si>
  <si>
    <t>SP_Area_Montecatini_Servizi</t>
  </si>
  <si>
    <t>SP_Area_Network_ICT_Security</t>
  </si>
  <si>
    <t>SP_Area_Offerta_Prodotto_Betting</t>
  </si>
  <si>
    <t>SP_Area_Online_Brand_Editorial</t>
  </si>
  <si>
    <t>SP_Area_Organizzazione</t>
  </si>
  <si>
    <t>SP_Area_Pianificazione_Budget_e_Controllo</t>
  </si>
  <si>
    <t>SP_Area_Privacy</t>
  </si>
  <si>
    <t>SP_Area_Process_Compliance</t>
  </si>
  <si>
    <t>SP_Area_Product_Management_Sport</t>
  </si>
  <si>
    <t>SP_Area_Project_Management</t>
  </si>
  <si>
    <t>SP_Area_Qualità_Prodotti_Betting</t>
  </si>
  <si>
    <t>SP_Area_Retail_Business_Performance</t>
  </si>
  <si>
    <t>SP_Area_Retail_Marketing</t>
  </si>
  <si>
    <t>SP_Area_Risk_Management</t>
  </si>
  <si>
    <t>SP_Area_Risorse_Umane_e_Organizzazione</t>
  </si>
  <si>
    <t>SP_Area_Segreteria_Ippica</t>
  </si>
  <si>
    <t>SP_Area_Servizi_Commerciali</t>
  </si>
  <si>
    <t>SP_Area_Smart_Working</t>
  </si>
  <si>
    <t>SP_Area_Soluzioni_Betting_Online</t>
  </si>
  <si>
    <t>SP_Area_Soluzioni_Gaming_Machine_Servizi</t>
  </si>
  <si>
    <t>SP_Area_Sviluppo_Prodotti_e_Innovazione_Online</t>
  </si>
  <si>
    <t>SP_Area_Sviluppo_Risorse_Umane</t>
  </si>
  <si>
    <t>SP_Area_Tesoreria</t>
  </si>
  <si>
    <t>SP_Area_Trading</t>
  </si>
  <si>
    <t>SP_Area_Trading_Digital</t>
  </si>
  <si>
    <t>SP_Area_Vendite</t>
  </si>
  <si>
    <t>SP_Area_Vendite_Betting</t>
  </si>
  <si>
    <t>SP_Area_Vendite_Gaming_Machine</t>
  </si>
  <si>
    <t>SP_Divisione_Betting_Retail_&amp;_Customer_Operations</t>
  </si>
  <si>
    <t>SP_Divisione_Direzione_Customer_Operations,_Logistic_Field_S</t>
  </si>
  <si>
    <t>Gruppi SP di controllo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</si>
</sst>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"/>
  <sheetViews>
    <sheetView workbookViewId="0">
      <pane ySplit="1" topLeftCell="A45" activePane="bottomLeft" state="frozen"/>
      <selection pane="bottomLeft" activeCell="D45" sqref="D45"/>
    </sheetView>
  </sheetViews>
  <sheetFormatPr defaultRowHeight="14.5" x14ac:dyDescent="0.35"/>
  <cols>
    <col min="1" max="1" width="10.7265625" bestFit="1" customWidth="1"/>
    <col min="2" max="2" width="20.81640625" bestFit="1" customWidth="1"/>
    <col min="3" max="3" width="14.08984375" bestFit="1" customWidth="1"/>
    <col min="4" max="4" width="31.81640625" bestFit="1" customWidth="1"/>
    <col min="5" max="5" width="51.26953125" bestFit="1" customWidth="1"/>
    <col min="6" max="6" width="52.1796875" bestFit="1" customWidth="1"/>
    <col min="7" max="7" width="47.08984375" bestFit="1" customWidth="1"/>
    <col min="8" max="8" width="52.1796875" bestFit="1" customWidth="1"/>
    <col min="9" max="9" width="28.36328125" bestFit="1" customWidth="1"/>
    <col min="10" max="10" width="20.6328125" bestFit="1" customWidth="1"/>
    <col min="11" max="11" width="44.7265625" bestFit="1" customWidth="1"/>
    <col min="12" max="12" width="20.6328125" bestFit="1" customWidth="1"/>
    <col min="13" max="13" width="11.453125" bestFit="1" customWidth="1"/>
    <col min="14" max="14" width="18.54296875" bestFit="1" customWidth="1"/>
    <col min="15" max="15" width="44.453125" bestFit="1" customWidth="1"/>
    <col min="16" max="16" width="8.7265625" style="2"/>
    <col min="17" max="17" width="54.36328125" bestFit="1" customWidth="1"/>
  </cols>
  <sheetData>
    <row r="1" spans="1:17" s="1" customFormat="1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751</v>
      </c>
      <c r="Q1" s="1" t="s">
        <v>15</v>
      </c>
    </row>
    <row r="2" spans="1:17" ht="14" customHeight="1" x14ac:dyDescent="0.35">
      <c r="A2" t="s">
        <v>16</v>
      </c>
      <c r="B2" t="s">
        <v>546</v>
      </c>
      <c r="C2" t="s">
        <v>547</v>
      </c>
      <c r="D2" t="s">
        <v>548</v>
      </c>
      <c r="E2" t="s">
        <v>43</v>
      </c>
      <c r="F2" t="s">
        <v>280</v>
      </c>
      <c r="G2" t="s">
        <v>549</v>
      </c>
      <c r="H2" t="s">
        <v>550</v>
      </c>
      <c r="I2" t="s">
        <v>551</v>
      </c>
      <c r="J2" t="s">
        <v>57</v>
      </c>
      <c r="K2" t="s">
        <v>116</v>
      </c>
      <c r="L2">
        <v>81903</v>
      </c>
      <c r="M2" t="s">
        <v>552</v>
      </c>
      <c r="O2" t="s">
        <v>553</v>
      </c>
      <c r="Q2" t="s">
        <v>49</v>
      </c>
    </row>
    <row r="3" spans="1:17" x14ac:dyDescent="0.35">
      <c r="A3" t="s">
        <v>16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24</v>
      </c>
      <c r="J3" t="s">
        <v>37</v>
      </c>
      <c r="K3" t="s">
        <v>38</v>
      </c>
      <c r="L3">
        <v>87471</v>
      </c>
      <c r="M3" t="s">
        <v>47</v>
      </c>
      <c r="O3" t="s">
        <v>48</v>
      </c>
      <c r="P3" s="2" t="s">
        <v>752</v>
      </c>
      <c r="Q3" t="s">
        <v>49</v>
      </c>
    </row>
    <row r="4" spans="1:17" x14ac:dyDescent="0.35">
      <c r="A4" t="s">
        <v>16</v>
      </c>
      <c r="B4" t="s">
        <v>90</v>
      </c>
      <c r="C4" t="s">
        <v>91</v>
      </c>
      <c r="D4" t="s">
        <v>92</v>
      </c>
      <c r="E4" t="s">
        <v>72</v>
      </c>
      <c r="F4" t="s">
        <v>73</v>
      </c>
      <c r="G4" t="s">
        <v>93</v>
      </c>
      <c r="H4" t="s">
        <v>94</v>
      </c>
      <c r="I4" t="s">
        <v>95</v>
      </c>
      <c r="J4" t="s">
        <v>37</v>
      </c>
      <c r="K4" t="s">
        <v>38</v>
      </c>
      <c r="L4">
        <v>87652</v>
      </c>
      <c r="M4" t="s">
        <v>96</v>
      </c>
      <c r="O4" t="s">
        <v>97</v>
      </c>
      <c r="Q4" t="s">
        <v>78</v>
      </c>
    </row>
    <row r="5" spans="1:17" x14ac:dyDescent="0.35">
      <c r="A5" t="s">
        <v>16</v>
      </c>
      <c r="B5" t="s">
        <v>425</v>
      </c>
      <c r="C5" t="s">
        <v>426</v>
      </c>
      <c r="D5" t="s">
        <v>427</v>
      </c>
      <c r="E5" t="s">
        <v>82</v>
      </c>
      <c r="F5" t="s">
        <v>340</v>
      </c>
      <c r="G5" t="s">
        <v>428</v>
      </c>
      <c r="H5" t="s">
        <v>429</v>
      </c>
      <c r="I5" t="s">
        <v>430</v>
      </c>
      <c r="J5" t="s">
        <v>57</v>
      </c>
      <c r="K5" t="s">
        <v>116</v>
      </c>
      <c r="L5">
        <v>81216</v>
      </c>
      <c r="M5" t="s">
        <v>431</v>
      </c>
      <c r="O5" t="s">
        <v>432</v>
      </c>
      <c r="Q5" t="s">
        <v>89</v>
      </c>
    </row>
    <row r="6" spans="1:17" x14ac:dyDescent="0.35">
      <c r="A6" t="s">
        <v>16</v>
      </c>
      <c r="B6" t="s">
        <v>612</v>
      </c>
      <c r="C6" t="s">
        <v>613</v>
      </c>
      <c r="D6" t="s">
        <v>614</v>
      </c>
      <c r="E6" t="s">
        <v>72</v>
      </c>
      <c r="F6" t="s">
        <v>615</v>
      </c>
      <c r="G6" t="s">
        <v>616</v>
      </c>
      <c r="H6" t="s">
        <v>617</v>
      </c>
      <c r="I6" t="s">
        <v>24</v>
      </c>
      <c r="J6" t="s">
        <v>37</v>
      </c>
      <c r="K6" t="s">
        <v>38</v>
      </c>
      <c r="L6">
        <v>87324</v>
      </c>
      <c r="M6" t="s">
        <v>618</v>
      </c>
      <c r="O6" t="s">
        <v>619</v>
      </c>
      <c r="P6" s="2" t="s">
        <v>752</v>
      </c>
      <c r="Q6" t="s">
        <v>78</v>
      </c>
    </row>
    <row r="7" spans="1:17" x14ac:dyDescent="0.35">
      <c r="A7" t="s">
        <v>16</v>
      </c>
      <c r="B7" t="s">
        <v>678</v>
      </c>
      <c r="C7" t="s">
        <v>679</v>
      </c>
      <c r="D7" t="s">
        <v>680</v>
      </c>
      <c r="E7" t="s">
        <v>170</v>
      </c>
      <c r="F7" t="s">
        <v>681</v>
      </c>
      <c r="G7" t="s">
        <v>682</v>
      </c>
      <c r="H7" t="s">
        <v>683</v>
      </c>
      <c r="I7" t="s">
        <v>445</v>
      </c>
      <c r="J7" t="s">
        <v>57</v>
      </c>
      <c r="K7" t="s">
        <v>58</v>
      </c>
      <c r="L7">
        <v>81484</v>
      </c>
      <c r="M7" t="s">
        <v>684</v>
      </c>
      <c r="O7" t="s">
        <v>685</v>
      </c>
      <c r="Q7" t="s">
        <v>176</v>
      </c>
    </row>
    <row r="8" spans="1:17" x14ac:dyDescent="0.35">
      <c r="A8" t="s">
        <v>16</v>
      </c>
      <c r="B8" t="s">
        <v>337</v>
      </c>
      <c r="C8" t="s">
        <v>338</v>
      </c>
      <c r="D8" t="s">
        <v>339</v>
      </c>
      <c r="E8" t="s">
        <v>82</v>
      </c>
      <c r="F8" t="s">
        <v>340</v>
      </c>
      <c r="G8" t="s">
        <v>341</v>
      </c>
      <c r="H8" t="s">
        <v>342</v>
      </c>
      <c r="I8" t="s">
        <v>343</v>
      </c>
      <c r="J8" t="s">
        <v>57</v>
      </c>
      <c r="K8" t="s">
        <v>116</v>
      </c>
      <c r="L8">
        <v>81854</v>
      </c>
      <c r="O8" t="s">
        <v>344</v>
      </c>
      <c r="Q8" t="s">
        <v>89</v>
      </c>
    </row>
    <row r="9" spans="1:17" x14ac:dyDescent="0.35">
      <c r="A9" t="s">
        <v>16</v>
      </c>
      <c r="B9" t="s">
        <v>636</v>
      </c>
      <c r="C9" t="s">
        <v>637</v>
      </c>
      <c r="D9" t="s">
        <v>638</v>
      </c>
      <c r="E9" t="s">
        <v>72</v>
      </c>
      <c r="F9" t="s">
        <v>162</v>
      </c>
      <c r="G9" t="s">
        <v>639</v>
      </c>
      <c r="H9" t="s">
        <v>640</v>
      </c>
      <c r="I9" t="s">
        <v>526</v>
      </c>
      <c r="J9" t="s">
        <v>25</v>
      </c>
      <c r="K9" t="s">
        <v>26</v>
      </c>
      <c r="L9">
        <v>87151</v>
      </c>
      <c r="M9" t="s">
        <v>641</v>
      </c>
      <c r="O9" t="s">
        <v>642</v>
      </c>
      <c r="Q9" t="s">
        <v>78</v>
      </c>
    </row>
    <row r="10" spans="1:17" x14ac:dyDescent="0.35">
      <c r="A10" t="s">
        <v>16</v>
      </c>
      <c r="B10" t="s">
        <v>277</v>
      </c>
      <c r="C10" t="s">
        <v>278</v>
      </c>
      <c r="D10" t="s">
        <v>279</v>
      </c>
      <c r="E10" t="s">
        <v>43</v>
      </c>
      <c r="F10" t="s">
        <v>280</v>
      </c>
      <c r="G10" t="s">
        <v>281</v>
      </c>
      <c r="H10" t="s">
        <v>282</v>
      </c>
      <c r="I10" t="s">
        <v>202</v>
      </c>
      <c r="J10" t="s">
        <v>57</v>
      </c>
      <c r="K10" t="s">
        <v>116</v>
      </c>
      <c r="L10">
        <v>81353</v>
      </c>
      <c r="M10" t="s">
        <v>283</v>
      </c>
      <c r="O10" t="s">
        <v>284</v>
      </c>
      <c r="Q10" t="s">
        <v>49</v>
      </c>
    </row>
    <row r="11" spans="1:17" x14ac:dyDescent="0.35">
      <c r="A11" t="s">
        <v>16</v>
      </c>
      <c r="B11" t="s">
        <v>134</v>
      </c>
      <c r="C11" t="s">
        <v>135</v>
      </c>
      <c r="D11" t="s">
        <v>136</v>
      </c>
      <c r="E11" t="s">
        <v>137</v>
      </c>
      <c r="F11" t="s">
        <v>138</v>
      </c>
      <c r="G11" t="s">
        <v>139</v>
      </c>
      <c r="H11" t="s">
        <v>140</v>
      </c>
      <c r="I11" t="s">
        <v>141</v>
      </c>
      <c r="J11" t="s">
        <v>37</v>
      </c>
      <c r="K11" t="s">
        <v>38</v>
      </c>
      <c r="L11">
        <v>87645</v>
      </c>
      <c r="M11" t="s">
        <v>142</v>
      </c>
      <c r="O11" t="s">
        <v>143</v>
      </c>
      <c r="Q11" t="s">
        <v>144</v>
      </c>
    </row>
    <row r="12" spans="1:17" x14ac:dyDescent="0.35">
      <c r="A12" t="s">
        <v>16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37</v>
      </c>
      <c r="K12" t="s">
        <v>38</v>
      </c>
      <c r="L12">
        <v>87310</v>
      </c>
      <c r="M12" t="s">
        <v>106</v>
      </c>
      <c r="O12" t="s">
        <v>107</v>
      </c>
      <c r="Q12" t="s">
        <v>108</v>
      </c>
    </row>
    <row r="13" spans="1:17" x14ac:dyDescent="0.35">
      <c r="A13" t="s">
        <v>16</v>
      </c>
      <c r="B13" t="s">
        <v>648</v>
      </c>
      <c r="C13" t="s">
        <v>649</v>
      </c>
      <c r="D13" t="s">
        <v>650</v>
      </c>
      <c r="E13" t="s">
        <v>101</v>
      </c>
      <c r="F13" t="s">
        <v>651</v>
      </c>
      <c r="G13" t="s">
        <v>652</v>
      </c>
      <c r="H13" t="s">
        <v>653</v>
      </c>
      <c r="I13" t="s">
        <v>105</v>
      </c>
      <c r="J13" t="s">
        <v>25</v>
      </c>
      <c r="K13" t="s">
        <v>26</v>
      </c>
      <c r="L13">
        <v>87175</v>
      </c>
      <c r="M13" t="s">
        <v>654</v>
      </c>
      <c r="O13" t="s">
        <v>655</v>
      </c>
      <c r="Q13" t="s">
        <v>108</v>
      </c>
    </row>
    <row r="14" spans="1:17" x14ac:dyDescent="0.35">
      <c r="A14" t="s">
        <v>16</v>
      </c>
      <c r="B14" t="s">
        <v>586</v>
      </c>
      <c r="C14" t="s">
        <v>587</v>
      </c>
      <c r="D14" t="s">
        <v>588</v>
      </c>
      <c r="E14" t="s">
        <v>43</v>
      </c>
      <c r="F14" t="s">
        <v>457</v>
      </c>
      <c r="G14" t="s">
        <v>589</v>
      </c>
      <c r="H14" t="s">
        <v>590</v>
      </c>
      <c r="I14" t="s">
        <v>202</v>
      </c>
      <c r="J14" t="s">
        <v>25</v>
      </c>
      <c r="K14" t="s">
        <v>26</v>
      </c>
      <c r="L14">
        <v>87109</v>
      </c>
      <c r="M14" t="s">
        <v>591</v>
      </c>
      <c r="O14" t="s">
        <v>592</v>
      </c>
      <c r="Q14" t="s">
        <v>49</v>
      </c>
    </row>
    <row r="15" spans="1:17" x14ac:dyDescent="0.35">
      <c r="A15" t="s">
        <v>16</v>
      </c>
      <c r="B15" t="s">
        <v>656</v>
      </c>
      <c r="C15" t="s">
        <v>657</v>
      </c>
      <c r="D15" t="s">
        <v>658</v>
      </c>
      <c r="E15" t="s">
        <v>82</v>
      </c>
      <c r="F15" t="s">
        <v>292</v>
      </c>
      <c r="G15" t="s">
        <v>659</v>
      </c>
      <c r="H15" t="s">
        <v>660</v>
      </c>
      <c r="I15" t="s">
        <v>310</v>
      </c>
      <c r="J15" t="s">
        <v>25</v>
      </c>
      <c r="K15" t="s">
        <v>26</v>
      </c>
      <c r="L15">
        <v>87204</v>
      </c>
      <c r="M15" t="s">
        <v>661</v>
      </c>
      <c r="O15" t="s">
        <v>662</v>
      </c>
      <c r="Q15" t="s">
        <v>89</v>
      </c>
    </row>
    <row r="16" spans="1:17" x14ac:dyDescent="0.35">
      <c r="A16" t="s">
        <v>16</v>
      </c>
      <c r="B16" t="s">
        <v>313</v>
      </c>
      <c r="C16" t="s">
        <v>314</v>
      </c>
      <c r="D16" t="s">
        <v>315</v>
      </c>
      <c r="E16" t="s">
        <v>137</v>
      </c>
      <c r="F16" t="s">
        <v>316</v>
      </c>
      <c r="G16" t="s">
        <v>317</v>
      </c>
      <c r="H16" t="s">
        <v>318</v>
      </c>
      <c r="I16" t="s">
        <v>319</v>
      </c>
      <c r="J16" t="s">
        <v>37</v>
      </c>
      <c r="K16" t="s">
        <v>38</v>
      </c>
      <c r="L16">
        <v>87373</v>
      </c>
      <c r="M16" t="s">
        <v>320</v>
      </c>
      <c r="O16" t="s">
        <v>321</v>
      </c>
      <c r="Q16" t="s">
        <v>144</v>
      </c>
    </row>
    <row r="17" spans="1:17" x14ac:dyDescent="0.35">
      <c r="A17" t="s">
        <v>16</v>
      </c>
      <c r="B17" t="s">
        <v>468</v>
      </c>
      <c r="C17" t="s">
        <v>469</v>
      </c>
      <c r="D17" t="s">
        <v>470</v>
      </c>
      <c r="E17" t="s">
        <v>82</v>
      </c>
      <c r="F17" t="s">
        <v>471</v>
      </c>
      <c r="G17" t="s">
        <v>472</v>
      </c>
      <c r="H17" t="s">
        <v>473</v>
      </c>
      <c r="I17" t="s">
        <v>310</v>
      </c>
      <c r="J17" t="s">
        <v>25</v>
      </c>
      <c r="K17" t="s">
        <v>26</v>
      </c>
      <c r="L17">
        <v>87236</v>
      </c>
      <c r="M17" t="s">
        <v>474</v>
      </c>
      <c r="O17" t="s">
        <v>475</v>
      </c>
      <c r="Q17" t="s">
        <v>89</v>
      </c>
    </row>
    <row r="18" spans="1:17" x14ac:dyDescent="0.35">
      <c r="A18" t="s">
        <v>16</v>
      </c>
      <c r="B18" t="s">
        <v>710</v>
      </c>
      <c r="C18" t="s">
        <v>711</v>
      </c>
      <c r="D18" t="s">
        <v>712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57</v>
      </c>
      <c r="K18" t="s">
        <v>58</v>
      </c>
      <c r="L18">
        <v>81473</v>
      </c>
      <c r="M18" t="s">
        <v>713</v>
      </c>
      <c r="O18" t="s">
        <v>714</v>
      </c>
      <c r="Q18" t="s">
        <v>215</v>
      </c>
    </row>
    <row r="19" spans="1:17" x14ac:dyDescent="0.35">
      <c r="A19" t="s">
        <v>16</v>
      </c>
      <c r="B19" t="s">
        <v>241</v>
      </c>
      <c r="C19" t="s">
        <v>242</v>
      </c>
      <c r="D19" t="s">
        <v>243</v>
      </c>
      <c r="E19" t="s">
        <v>137</v>
      </c>
      <c r="F19" t="s">
        <v>244</v>
      </c>
      <c r="G19" t="s">
        <v>245</v>
      </c>
      <c r="H19" t="s">
        <v>246</v>
      </c>
      <c r="I19" t="s">
        <v>247</v>
      </c>
      <c r="J19" t="s">
        <v>37</v>
      </c>
      <c r="K19" t="s">
        <v>38</v>
      </c>
      <c r="L19">
        <v>87361</v>
      </c>
      <c r="M19" t="s">
        <v>248</v>
      </c>
      <c r="O19" t="s">
        <v>249</v>
      </c>
      <c r="Q19" t="s">
        <v>144</v>
      </c>
    </row>
    <row r="20" spans="1:17" x14ac:dyDescent="0.35">
      <c r="A20" t="s">
        <v>16</v>
      </c>
      <c r="B20" t="s">
        <v>396</v>
      </c>
      <c r="C20" t="s">
        <v>397</v>
      </c>
      <c r="D20" t="s">
        <v>398</v>
      </c>
      <c r="E20" t="s">
        <v>101</v>
      </c>
      <c r="F20" t="s">
        <v>399</v>
      </c>
      <c r="G20" t="s">
        <v>400</v>
      </c>
      <c r="H20" t="s">
        <v>401</v>
      </c>
      <c r="I20" t="s">
        <v>24</v>
      </c>
      <c r="J20" t="s">
        <v>37</v>
      </c>
      <c r="K20" t="s">
        <v>38</v>
      </c>
      <c r="L20">
        <v>87367</v>
      </c>
      <c r="M20" t="s">
        <v>402</v>
      </c>
      <c r="O20" t="s">
        <v>403</v>
      </c>
      <c r="P20" s="2" t="s">
        <v>752</v>
      </c>
      <c r="Q20" t="s">
        <v>108</v>
      </c>
    </row>
    <row r="21" spans="1:17" x14ac:dyDescent="0.35">
      <c r="A21" t="s">
        <v>16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25</v>
      </c>
      <c r="K21" t="s">
        <v>26</v>
      </c>
      <c r="L21">
        <v>87220</v>
      </c>
      <c r="M21" t="s">
        <v>87</v>
      </c>
      <c r="O21" t="s">
        <v>88</v>
      </c>
      <c r="Q21" t="s">
        <v>89</v>
      </c>
    </row>
    <row r="22" spans="1:17" x14ac:dyDescent="0.35">
      <c r="A22" t="s">
        <v>16</v>
      </c>
      <c r="B22" t="s">
        <v>145</v>
      </c>
      <c r="C22" t="s">
        <v>146</v>
      </c>
      <c r="D22" t="s">
        <v>147</v>
      </c>
      <c r="E22" t="s">
        <v>52</v>
      </c>
      <c r="F22" t="s">
        <v>148</v>
      </c>
      <c r="G22" t="s">
        <v>149</v>
      </c>
      <c r="H22" t="s">
        <v>150</v>
      </c>
      <c r="I22" t="s">
        <v>151</v>
      </c>
      <c r="J22" t="s">
        <v>57</v>
      </c>
      <c r="K22" t="s">
        <v>58</v>
      </c>
      <c r="L22">
        <v>81372</v>
      </c>
      <c r="M22" t="s">
        <v>152</v>
      </c>
      <c r="O22" t="s">
        <v>153</v>
      </c>
      <c r="Q22" t="s">
        <v>60</v>
      </c>
    </row>
    <row r="23" spans="1:17" x14ac:dyDescent="0.35">
      <c r="A23" t="s">
        <v>16</v>
      </c>
      <c r="B23" t="s">
        <v>381</v>
      </c>
      <c r="C23" t="s">
        <v>382</v>
      </c>
      <c r="D23" t="s">
        <v>383</v>
      </c>
      <c r="E23" t="s">
        <v>72</v>
      </c>
      <c r="F23" t="s">
        <v>162</v>
      </c>
      <c r="G23" t="s">
        <v>163</v>
      </c>
      <c r="H23" t="s">
        <v>384</v>
      </c>
      <c r="I23" t="s">
        <v>370</v>
      </c>
      <c r="J23" t="s">
        <v>25</v>
      </c>
      <c r="K23" t="s">
        <v>26</v>
      </c>
      <c r="L23">
        <v>87121</v>
      </c>
      <c r="M23" t="s">
        <v>385</v>
      </c>
      <c r="O23" t="s">
        <v>386</v>
      </c>
      <c r="Q23" t="s">
        <v>78</v>
      </c>
    </row>
    <row r="24" spans="1:17" x14ac:dyDescent="0.35">
      <c r="A24" t="s">
        <v>16</v>
      </c>
      <c r="B24" t="s">
        <v>627</v>
      </c>
      <c r="C24" t="s">
        <v>628</v>
      </c>
      <c r="D24" t="s">
        <v>629</v>
      </c>
      <c r="E24" t="s">
        <v>630</v>
      </c>
      <c r="F24" t="s">
        <v>630</v>
      </c>
      <c r="G24" t="s">
        <v>631</v>
      </c>
      <c r="H24" t="s">
        <v>632</v>
      </c>
      <c r="I24" t="s">
        <v>24</v>
      </c>
      <c r="J24" t="s">
        <v>25</v>
      </c>
      <c r="K24" t="s">
        <v>26</v>
      </c>
      <c r="L24">
        <v>87266</v>
      </c>
      <c r="M24" t="s">
        <v>633</v>
      </c>
      <c r="O24" t="s">
        <v>634</v>
      </c>
      <c r="P24" s="2" t="s">
        <v>752</v>
      </c>
      <c r="Q24" t="s">
        <v>635</v>
      </c>
    </row>
    <row r="25" spans="1:17" x14ac:dyDescent="0.35">
      <c r="A25" t="s">
        <v>16</v>
      </c>
      <c r="B25" t="s">
        <v>745</v>
      </c>
      <c r="C25" t="s">
        <v>746</v>
      </c>
      <c r="D25" t="s">
        <v>747</v>
      </c>
      <c r="E25" t="s">
        <v>478</v>
      </c>
      <c r="F25" t="s">
        <v>478</v>
      </c>
      <c r="G25" t="s">
        <v>479</v>
      </c>
      <c r="H25" t="s">
        <v>748</v>
      </c>
      <c r="I25" t="s">
        <v>24</v>
      </c>
      <c r="J25" t="s">
        <v>57</v>
      </c>
      <c r="K25" t="s">
        <v>58</v>
      </c>
      <c r="L25">
        <v>81281</v>
      </c>
      <c r="M25" t="s">
        <v>749</v>
      </c>
      <c r="O25" t="s">
        <v>750</v>
      </c>
      <c r="P25" s="2" t="s">
        <v>752</v>
      </c>
      <c r="Q25" t="s">
        <v>483</v>
      </c>
    </row>
    <row r="26" spans="1:17" x14ac:dyDescent="0.35">
      <c r="A26" t="s">
        <v>16</v>
      </c>
      <c r="B26" t="s">
        <v>145</v>
      </c>
      <c r="C26" t="s">
        <v>154</v>
      </c>
      <c r="D26" t="s">
        <v>155</v>
      </c>
      <c r="E26" t="s">
        <v>72</v>
      </c>
      <c r="F26" t="s">
        <v>73</v>
      </c>
      <c r="G26" t="s">
        <v>156</v>
      </c>
      <c r="H26" t="s">
        <v>157</v>
      </c>
      <c r="I26" t="s">
        <v>95</v>
      </c>
      <c r="J26" t="s">
        <v>25</v>
      </c>
      <c r="K26" t="s">
        <v>26</v>
      </c>
      <c r="L26">
        <v>87226</v>
      </c>
      <c r="M26" t="s">
        <v>158</v>
      </c>
      <c r="O26" t="s">
        <v>159</v>
      </c>
      <c r="Q26" t="s">
        <v>78</v>
      </c>
    </row>
    <row r="27" spans="1:17" x14ac:dyDescent="0.35">
      <c r="A27" t="s">
        <v>16</v>
      </c>
      <c r="B27" t="s">
        <v>225</v>
      </c>
      <c r="C27" t="s">
        <v>226</v>
      </c>
      <c r="D27" t="s">
        <v>227</v>
      </c>
      <c r="E27" t="s">
        <v>20</v>
      </c>
      <c r="F27" t="s">
        <v>112</v>
      </c>
      <c r="G27" t="s">
        <v>228</v>
      </c>
      <c r="H27" t="s">
        <v>229</v>
      </c>
      <c r="I27" t="s">
        <v>230</v>
      </c>
      <c r="J27" t="s">
        <v>37</v>
      </c>
      <c r="K27" t="s">
        <v>38</v>
      </c>
      <c r="L27">
        <v>87616</v>
      </c>
      <c r="M27" t="s">
        <v>231</v>
      </c>
      <c r="O27" t="s">
        <v>232</v>
      </c>
      <c r="Q27" t="s">
        <v>29</v>
      </c>
    </row>
    <row r="28" spans="1:17" x14ac:dyDescent="0.35">
      <c r="A28" t="s">
        <v>16</v>
      </c>
      <c r="B28" t="s">
        <v>515</v>
      </c>
      <c r="C28" t="s">
        <v>226</v>
      </c>
      <c r="D28" t="s">
        <v>516</v>
      </c>
      <c r="E28" t="s">
        <v>20</v>
      </c>
      <c r="F28" t="s">
        <v>112</v>
      </c>
      <c r="G28" t="s">
        <v>517</v>
      </c>
      <c r="H28" t="s">
        <v>518</v>
      </c>
      <c r="I28" t="s">
        <v>519</v>
      </c>
      <c r="J28" t="s">
        <v>37</v>
      </c>
      <c r="K28" t="s">
        <v>38</v>
      </c>
      <c r="L28">
        <v>87321</v>
      </c>
      <c r="O28" t="s">
        <v>520</v>
      </c>
      <c r="Q28" t="s">
        <v>29</v>
      </c>
    </row>
    <row r="29" spans="1:17" x14ac:dyDescent="0.35">
      <c r="A29" t="s">
        <v>16</v>
      </c>
      <c r="B29" t="s">
        <v>620</v>
      </c>
      <c r="C29" t="s">
        <v>621</v>
      </c>
      <c r="D29" t="s">
        <v>622</v>
      </c>
      <c r="E29" t="s">
        <v>20</v>
      </c>
      <c r="F29" t="s">
        <v>33</v>
      </c>
      <c r="G29" t="s">
        <v>623</v>
      </c>
      <c r="H29" t="s">
        <v>624</v>
      </c>
      <c r="I29" t="s">
        <v>625</v>
      </c>
      <c r="J29" t="s">
        <v>37</v>
      </c>
      <c r="K29" t="s">
        <v>38</v>
      </c>
      <c r="L29">
        <v>87625</v>
      </c>
      <c r="O29" t="s">
        <v>626</v>
      </c>
      <c r="Q29" t="s">
        <v>753</v>
      </c>
    </row>
    <row r="30" spans="1:17" x14ac:dyDescent="0.35">
      <c r="A30" t="s">
        <v>16</v>
      </c>
      <c r="B30" t="s">
        <v>468</v>
      </c>
      <c r="C30" t="s">
        <v>476</v>
      </c>
      <c r="D30" t="s">
        <v>477</v>
      </c>
      <c r="E30" t="s">
        <v>478</v>
      </c>
      <c r="F30" t="s">
        <v>478</v>
      </c>
      <c r="G30" t="s">
        <v>479</v>
      </c>
      <c r="H30" t="s">
        <v>480</v>
      </c>
      <c r="I30" t="s">
        <v>481</v>
      </c>
      <c r="J30" t="s">
        <v>37</v>
      </c>
      <c r="K30" t="s">
        <v>38</v>
      </c>
      <c r="L30">
        <v>87632</v>
      </c>
      <c r="O30" t="s">
        <v>482</v>
      </c>
      <c r="Q30" t="s">
        <v>483</v>
      </c>
    </row>
    <row r="31" spans="1:17" x14ac:dyDescent="0.35">
      <c r="A31" t="s">
        <v>16</v>
      </c>
      <c r="B31" t="s">
        <v>329</v>
      </c>
      <c r="C31" t="s">
        <v>330</v>
      </c>
      <c r="D31" t="s">
        <v>331</v>
      </c>
      <c r="E31" t="s">
        <v>170</v>
      </c>
      <c r="F31" t="s">
        <v>332</v>
      </c>
      <c r="G31" t="s">
        <v>333</v>
      </c>
      <c r="H31" t="s">
        <v>334</v>
      </c>
      <c r="I31" t="s">
        <v>24</v>
      </c>
      <c r="J31" t="s">
        <v>25</v>
      </c>
      <c r="K31" t="s">
        <v>26</v>
      </c>
      <c r="L31">
        <v>87273</v>
      </c>
      <c r="M31" t="s">
        <v>335</v>
      </c>
      <c r="O31" t="s">
        <v>336</v>
      </c>
      <c r="P31" s="2" t="s">
        <v>752</v>
      </c>
      <c r="Q31" t="s">
        <v>176</v>
      </c>
    </row>
    <row r="32" spans="1:17" x14ac:dyDescent="0.35">
      <c r="A32" t="s">
        <v>16</v>
      </c>
      <c r="B32" t="s">
        <v>167</v>
      </c>
      <c r="C32" t="s">
        <v>168</v>
      </c>
      <c r="D32" t="s">
        <v>169</v>
      </c>
      <c r="E32" t="s">
        <v>170</v>
      </c>
      <c r="F32" t="s">
        <v>171</v>
      </c>
      <c r="G32" t="s">
        <v>172</v>
      </c>
      <c r="H32" t="s">
        <v>173</v>
      </c>
      <c r="I32" t="s">
        <v>174</v>
      </c>
      <c r="J32" t="s">
        <v>57</v>
      </c>
      <c r="K32" t="s">
        <v>58</v>
      </c>
      <c r="L32">
        <v>81645</v>
      </c>
      <c r="O32" t="s">
        <v>175</v>
      </c>
      <c r="Q32" t="s">
        <v>176</v>
      </c>
    </row>
    <row r="33" spans="1:17" x14ac:dyDescent="0.35">
      <c r="A33" t="s">
        <v>16</v>
      </c>
      <c r="B33" t="s">
        <v>205</v>
      </c>
      <c r="C33" t="s">
        <v>206</v>
      </c>
      <c r="D33" t="s">
        <v>207</v>
      </c>
      <c r="E33" t="s">
        <v>208</v>
      </c>
      <c r="F33" t="s">
        <v>209</v>
      </c>
      <c r="G33" t="s">
        <v>210</v>
      </c>
      <c r="H33" t="s">
        <v>211</v>
      </c>
      <c r="I33" t="s">
        <v>212</v>
      </c>
      <c r="J33" t="s">
        <v>57</v>
      </c>
      <c r="K33" t="s">
        <v>58</v>
      </c>
      <c r="L33">
        <v>81245</v>
      </c>
      <c r="M33" t="s">
        <v>213</v>
      </c>
      <c r="O33" t="s">
        <v>214</v>
      </c>
      <c r="Q33" t="s">
        <v>215</v>
      </c>
    </row>
    <row r="34" spans="1:17" x14ac:dyDescent="0.35">
      <c r="A34" t="s">
        <v>16</v>
      </c>
      <c r="B34" t="s">
        <v>412</v>
      </c>
      <c r="C34" t="s">
        <v>413</v>
      </c>
      <c r="D34" t="s">
        <v>414</v>
      </c>
      <c r="E34" t="s">
        <v>20</v>
      </c>
      <c r="F34" t="s">
        <v>112</v>
      </c>
      <c r="G34" t="s">
        <v>228</v>
      </c>
      <c r="H34" t="s">
        <v>415</v>
      </c>
      <c r="I34" t="s">
        <v>416</v>
      </c>
      <c r="J34" t="s">
        <v>37</v>
      </c>
      <c r="K34" t="s">
        <v>38</v>
      </c>
      <c r="L34">
        <v>87366</v>
      </c>
      <c r="O34" t="s">
        <v>417</v>
      </c>
      <c r="Q34" t="s">
        <v>29</v>
      </c>
    </row>
    <row r="35" spans="1:17" x14ac:dyDescent="0.35">
      <c r="A35" t="s">
        <v>16</v>
      </c>
      <c r="B35" t="s">
        <v>686</v>
      </c>
      <c r="C35" t="s">
        <v>687</v>
      </c>
      <c r="D35" t="s">
        <v>688</v>
      </c>
      <c r="E35" t="s">
        <v>72</v>
      </c>
      <c r="F35" t="s">
        <v>73</v>
      </c>
      <c r="G35" t="s">
        <v>689</v>
      </c>
      <c r="H35" t="s">
        <v>690</v>
      </c>
      <c r="I35" t="s">
        <v>95</v>
      </c>
      <c r="J35" t="s">
        <v>25</v>
      </c>
      <c r="K35" t="s">
        <v>26</v>
      </c>
      <c r="O35" t="s">
        <v>691</v>
      </c>
      <c r="Q35" t="s">
        <v>78</v>
      </c>
    </row>
    <row r="36" spans="1:17" x14ac:dyDescent="0.35">
      <c r="A36" t="s">
        <v>16</v>
      </c>
      <c r="B36" t="s">
        <v>387</v>
      </c>
      <c r="C36" t="s">
        <v>388</v>
      </c>
      <c r="D36" t="s">
        <v>389</v>
      </c>
      <c r="E36" t="s">
        <v>208</v>
      </c>
      <c r="F36" t="s">
        <v>390</v>
      </c>
      <c r="G36" t="s">
        <v>391</v>
      </c>
      <c r="H36" t="s">
        <v>392</v>
      </c>
      <c r="I36" t="s">
        <v>393</v>
      </c>
      <c r="J36" t="s">
        <v>25</v>
      </c>
      <c r="K36" t="s">
        <v>26</v>
      </c>
      <c r="L36">
        <v>87164</v>
      </c>
      <c r="M36" t="s">
        <v>394</v>
      </c>
      <c r="O36" t="s">
        <v>395</v>
      </c>
      <c r="Q36" t="s">
        <v>215</v>
      </c>
    </row>
    <row r="37" spans="1:17" x14ac:dyDescent="0.35">
      <c r="A37" t="s">
        <v>16</v>
      </c>
      <c r="B37" t="s">
        <v>670</v>
      </c>
      <c r="C37" t="s">
        <v>671</v>
      </c>
      <c r="D37" t="s">
        <v>672</v>
      </c>
      <c r="E37" t="s">
        <v>208</v>
      </c>
      <c r="F37" t="s">
        <v>673</v>
      </c>
      <c r="G37" t="s">
        <v>674</v>
      </c>
      <c r="H37" t="s">
        <v>675</v>
      </c>
      <c r="I37" t="s">
        <v>504</v>
      </c>
      <c r="J37" t="s">
        <v>57</v>
      </c>
      <c r="K37" t="s">
        <v>116</v>
      </c>
      <c r="L37">
        <v>81397</v>
      </c>
      <c r="M37" t="s">
        <v>676</v>
      </c>
      <c r="O37" t="s">
        <v>677</v>
      </c>
      <c r="Q37" t="s">
        <v>215</v>
      </c>
    </row>
    <row r="38" spans="1:17" x14ac:dyDescent="0.35">
      <c r="A38" t="s">
        <v>16</v>
      </c>
      <c r="B38" t="s">
        <v>30</v>
      </c>
      <c r="C38" t="s">
        <v>31</v>
      </c>
      <c r="D38" t="s">
        <v>32</v>
      </c>
      <c r="E38" t="s">
        <v>20</v>
      </c>
      <c r="F38" t="s">
        <v>33</v>
      </c>
      <c r="G38" t="s">
        <v>34</v>
      </c>
      <c r="H38" t="s">
        <v>35</v>
      </c>
      <c r="I38" t="s">
        <v>36</v>
      </c>
      <c r="J38" t="s">
        <v>37</v>
      </c>
      <c r="K38" t="s">
        <v>38</v>
      </c>
      <c r="L38">
        <v>87651</v>
      </c>
      <c r="O38" t="s">
        <v>39</v>
      </c>
      <c r="Q38" t="s">
        <v>29</v>
      </c>
    </row>
    <row r="39" spans="1:17" x14ac:dyDescent="0.35">
      <c r="A39" t="s">
        <v>16</v>
      </c>
      <c r="B39" t="s">
        <v>322</v>
      </c>
      <c r="C39" t="s">
        <v>323</v>
      </c>
      <c r="D39" t="s">
        <v>324</v>
      </c>
      <c r="E39" t="s">
        <v>137</v>
      </c>
      <c r="F39" t="s">
        <v>325</v>
      </c>
      <c r="G39" t="s">
        <v>326</v>
      </c>
      <c r="H39" t="s">
        <v>327</v>
      </c>
      <c r="I39" t="s">
        <v>141</v>
      </c>
      <c r="J39" t="s">
        <v>37</v>
      </c>
      <c r="K39" t="s">
        <v>38</v>
      </c>
      <c r="L39">
        <v>87675</v>
      </c>
      <c r="O39" t="s">
        <v>328</v>
      </c>
      <c r="Q39" t="s">
        <v>144</v>
      </c>
    </row>
    <row r="40" spans="1:17" x14ac:dyDescent="0.35">
      <c r="A40" t="s">
        <v>16</v>
      </c>
      <c r="B40" t="s">
        <v>704</v>
      </c>
      <c r="C40" t="s">
        <v>705</v>
      </c>
      <c r="D40" t="s">
        <v>706</v>
      </c>
      <c r="E40" t="s">
        <v>72</v>
      </c>
      <c r="F40" t="s">
        <v>162</v>
      </c>
      <c r="G40" t="s">
        <v>707</v>
      </c>
      <c r="H40" t="s">
        <v>708</v>
      </c>
      <c r="I40" t="s">
        <v>370</v>
      </c>
      <c r="J40" t="s">
        <v>57</v>
      </c>
      <c r="K40" t="s">
        <v>116</v>
      </c>
      <c r="L40">
        <v>81599</v>
      </c>
      <c r="O40" t="s">
        <v>709</v>
      </c>
      <c r="Q40" t="s">
        <v>78</v>
      </c>
    </row>
    <row r="41" spans="1:17" x14ac:dyDescent="0.35">
      <c r="A41" t="s">
        <v>16</v>
      </c>
      <c r="B41" t="s">
        <v>196</v>
      </c>
      <c r="C41" t="s">
        <v>197</v>
      </c>
      <c r="D41" t="s">
        <v>198</v>
      </c>
      <c r="E41" t="s">
        <v>43</v>
      </c>
      <c r="F41" t="s">
        <v>199</v>
      </c>
      <c r="G41" t="s">
        <v>200</v>
      </c>
      <c r="H41" t="s">
        <v>201</v>
      </c>
      <c r="I41" t="s">
        <v>202</v>
      </c>
      <c r="J41" t="s">
        <v>57</v>
      </c>
      <c r="K41" t="s">
        <v>116</v>
      </c>
      <c r="L41">
        <v>81749</v>
      </c>
      <c r="M41" t="s">
        <v>203</v>
      </c>
      <c r="O41" t="s">
        <v>204</v>
      </c>
      <c r="Q41" t="s">
        <v>49</v>
      </c>
    </row>
    <row r="42" spans="1:17" x14ac:dyDescent="0.35">
      <c r="A42" t="s">
        <v>16</v>
      </c>
      <c r="B42" t="s">
        <v>40</v>
      </c>
      <c r="C42" t="s">
        <v>50</v>
      </c>
      <c r="D42" t="s">
        <v>51</v>
      </c>
      <c r="E42" t="s">
        <v>52</v>
      </c>
      <c r="F42" t="s">
        <v>53</v>
      </c>
      <c r="G42" t="s">
        <v>54</v>
      </c>
      <c r="H42" t="s">
        <v>55</v>
      </c>
      <c r="I42" t="s">
        <v>56</v>
      </c>
      <c r="J42" t="s">
        <v>57</v>
      </c>
      <c r="K42" t="s">
        <v>58</v>
      </c>
      <c r="L42">
        <v>81228</v>
      </c>
      <c r="O42" t="s">
        <v>59</v>
      </c>
      <c r="Q42" t="s">
        <v>60</v>
      </c>
    </row>
    <row r="43" spans="1:17" x14ac:dyDescent="0.35">
      <c r="A43" t="s">
        <v>16</v>
      </c>
      <c r="B43" t="s">
        <v>563</v>
      </c>
      <c r="C43" t="s">
        <v>564</v>
      </c>
      <c r="D43" t="s">
        <v>565</v>
      </c>
      <c r="E43" t="s">
        <v>170</v>
      </c>
      <c r="F43" t="s">
        <v>566</v>
      </c>
      <c r="G43" t="s">
        <v>567</v>
      </c>
      <c r="H43" t="s">
        <v>568</v>
      </c>
      <c r="I43" t="s">
        <v>445</v>
      </c>
      <c r="J43" t="s">
        <v>57</v>
      </c>
      <c r="K43" t="s">
        <v>58</v>
      </c>
      <c r="L43">
        <v>81491</v>
      </c>
      <c r="M43" t="s">
        <v>569</v>
      </c>
      <c r="O43" t="s">
        <v>570</v>
      </c>
      <c r="Q43" t="s">
        <v>176</v>
      </c>
    </row>
    <row r="44" spans="1:17" x14ac:dyDescent="0.35">
      <c r="A44" t="s">
        <v>16</v>
      </c>
      <c r="B44" t="s">
        <v>373</v>
      </c>
      <c r="C44" t="s">
        <v>374</v>
      </c>
      <c r="D44" t="s">
        <v>375</v>
      </c>
      <c r="E44" t="s">
        <v>188</v>
      </c>
      <c r="F44" t="s">
        <v>189</v>
      </c>
      <c r="G44" t="s">
        <v>376</v>
      </c>
      <c r="H44" t="s">
        <v>377</v>
      </c>
      <c r="I44" t="s">
        <v>192</v>
      </c>
      <c r="J44" t="s">
        <v>378</v>
      </c>
      <c r="K44" t="s">
        <v>379</v>
      </c>
      <c r="O44" t="s">
        <v>380</v>
      </c>
      <c r="Q44" t="s">
        <v>195</v>
      </c>
    </row>
    <row r="45" spans="1:17" x14ac:dyDescent="0.35">
      <c r="A45" t="s">
        <v>16</v>
      </c>
      <c r="B45" t="s">
        <v>40</v>
      </c>
      <c r="C45" t="s">
        <v>61</v>
      </c>
      <c r="D45" t="s">
        <v>62</v>
      </c>
      <c r="E45" t="s">
        <v>63</v>
      </c>
      <c r="F45" t="s">
        <v>64</v>
      </c>
      <c r="G45" t="s">
        <v>65</v>
      </c>
      <c r="H45" t="s">
        <v>66</v>
      </c>
      <c r="I45" t="s">
        <v>24</v>
      </c>
      <c r="J45" t="s">
        <v>37</v>
      </c>
      <c r="K45" t="s">
        <v>38</v>
      </c>
      <c r="L45">
        <v>87684</v>
      </c>
      <c r="M45" t="s">
        <v>67</v>
      </c>
      <c r="O45" t="s">
        <v>68</v>
      </c>
      <c r="P45" s="2" t="s">
        <v>752</v>
      </c>
      <c r="Q45" t="s">
        <v>69</v>
      </c>
    </row>
    <row r="46" spans="1:17" x14ac:dyDescent="0.35">
      <c r="A46" t="s">
        <v>16</v>
      </c>
      <c r="B46" t="s">
        <v>448</v>
      </c>
      <c r="C46" t="s">
        <v>449</v>
      </c>
      <c r="D46" t="s">
        <v>450</v>
      </c>
      <c r="E46" t="s">
        <v>137</v>
      </c>
      <c r="F46" t="s">
        <v>316</v>
      </c>
      <c r="G46" t="s">
        <v>317</v>
      </c>
      <c r="H46" t="s">
        <v>451</v>
      </c>
      <c r="I46" t="s">
        <v>141</v>
      </c>
      <c r="J46" t="s">
        <v>37</v>
      </c>
      <c r="K46" t="s">
        <v>38</v>
      </c>
      <c r="L46">
        <v>87643</v>
      </c>
      <c r="M46" t="s">
        <v>452</v>
      </c>
      <c r="O46" t="s">
        <v>453</v>
      </c>
      <c r="Q46" t="s">
        <v>144</v>
      </c>
    </row>
    <row r="47" spans="1:17" x14ac:dyDescent="0.35">
      <c r="A47" t="s">
        <v>16</v>
      </c>
      <c r="B47" t="s">
        <v>145</v>
      </c>
      <c r="C47" t="s">
        <v>160</v>
      </c>
      <c r="D47" t="s">
        <v>161</v>
      </c>
      <c r="E47" t="s">
        <v>72</v>
      </c>
      <c r="F47" t="s">
        <v>162</v>
      </c>
      <c r="G47" t="s">
        <v>163</v>
      </c>
      <c r="H47" t="s">
        <v>164</v>
      </c>
      <c r="I47" t="s">
        <v>165</v>
      </c>
      <c r="J47" t="s">
        <v>57</v>
      </c>
      <c r="K47" t="s">
        <v>116</v>
      </c>
      <c r="L47">
        <v>81859</v>
      </c>
      <c r="O47" t="s">
        <v>166</v>
      </c>
      <c r="Q47" t="s">
        <v>78</v>
      </c>
    </row>
    <row r="48" spans="1:17" x14ac:dyDescent="0.35">
      <c r="A48" t="s">
        <v>16</v>
      </c>
      <c r="B48" t="s">
        <v>454</v>
      </c>
      <c r="C48" t="s">
        <v>455</v>
      </c>
      <c r="D48" t="s">
        <v>456</v>
      </c>
      <c r="E48" t="s">
        <v>43</v>
      </c>
      <c r="F48" t="s">
        <v>457</v>
      </c>
      <c r="G48" t="s">
        <v>458</v>
      </c>
      <c r="H48" t="s">
        <v>459</v>
      </c>
      <c r="I48" t="s">
        <v>460</v>
      </c>
      <c r="J48" t="s">
        <v>57</v>
      </c>
      <c r="K48" t="s">
        <v>58</v>
      </c>
      <c r="L48">
        <v>81604</v>
      </c>
      <c r="O48" t="s">
        <v>461</v>
      </c>
      <c r="Q48" t="s">
        <v>49</v>
      </c>
    </row>
    <row r="49" spans="1:17" x14ac:dyDescent="0.35">
      <c r="A49" t="s">
        <v>16</v>
      </c>
      <c r="B49" t="s">
        <v>507</v>
      </c>
      <c r="C49" t="s">
        <v>508</v>
      </c>
      <c r="D49" t="s">
        <v>509</v>
      </c>
      <c r="E49" t="s">
        <v>20</v>
      </c>
      <c r="F49" t="s">
        <v>33</v>
      </c>
      <c r="G49" t="s">
        <v>510</v>
      </c>
      <c r="H49" t="s">
        <v>511</v>
      </c>
      <c r="I49" t="s">
        <v>512</v>
      </c>
      <c r="J49" t="s">
        <v>37</v>
      </c>
      <c r="K49" t="s">
        <v>38</v>
      </c>
      <c r="L49">
        <v>87371</v>
      </c>
      <c r="M49" t="s">
        <v>513</v>
      </c>
      <c r="O49" t="s">
        <v>514</v>
      </c>
      <c r="Q49" t="s">
        <v>29</v>
      </c>
    </row>
    <row r="50" spans="1:17" x14ac:dyDescent="0.35">
      <c r="A50" t="s">
        <v>16</v>
      </c>
      <c r="B50" t="s">
        <v>724</v>
      </c>
      <c r="C50" t="s">
        <v>725</v>
      </c>
      <c r="D50" t="s">
        <v>726</v>
      </c>
      <c r="E50" t="s">
        <v>208</v>
      </c>
      <c r="F50" t="s">
        <v>727</v>
      </c>
      <c r="G50" t="s">
        <v>728</v>
      </c>
      <c r="H50" t="s">
        <v>729</v>
      </c>
      <c r="I50" t="s">
        <v>730</v>
      </c>
      <c r="J50" t="s">
        <v>57</v>
      </c>
      <c r="K50" t="s">
        <v>116</v>
      </c>
      <c r="L50">
        <v>81887</v>
      </c>
      <c r="O50" t="s">
        <v>731</v>
      </c>
      <c r="Q50" t="s">
        <v>215</v>
      </c>
    </row>
    <row r="51" spans="1:17" x14ac:dyDescent="0.35">
      <c r="A51" t="s">
        <v>16</v>
      </c>
      <c r="B51" t="s">
        <v>225</v>
      </c>
      <c r="C51" t="s">
        <v>233</v>
      </c>
      <c r="D51" t="s">
        <v>234</v>
      </c>
      <c r="E51" t="s">
        <v>43</v>
      </c>
      <c r="F51" t="s">
        <v>235</v>
      </c>
      <c r="G51" t="s">
        <v>236</v>
      </c>
      <c r="H51" t="s">
        <v>237</v>
      </c>
      <c r="I51" t="s">
        <v>238</v>
      </c>
      <c r="J51" t="s">
        <v>57</v>
      </c>
      <c r="K51" t="s">
        <v>116</v>
      </c>
      <c r="L51">
        <v>81643</v>
      </c>
      <c r="M51" t="s">
        <v>239</v>
      </c>
      <c r="O51" t="s">
        <v>240</v>
      </c>
      <c r="Q51" t="s">
        <v>49</v>
      </c>
    </row>
    <row r="52" spans="1:17" x14ac:dyDescent="0.35">
      <c r="A52" t="s">
        <v>16</v>
      </c>
      <c r="B52" t="s">
        <v>250</v>
      </c>
      <c r="C52" t="s">
        <v>251</v>
      </c>
      <c r="D52" t="s">
        <v>252</v>
      </c>
      <c r="E52" t="s">
        <v>188</v>
      </c>
      <c r="F52" t="s">
        <v>253</v>
      </c>
      <c r="G52" t="s">
        <v>254</v>
      </c>
      <c r="H52" t="s">
        <v>255</v>
      </c>
      <c r="I52" t="s">
        <v>256</v>
      </c>
      <c r="J52" t="s">
        <v>25</v>
      </c>
      <c r="K52" t="s">
        <v>193</v>
      </c>
      <c r="L52">
        <v>84229</v>
      </c>
      <c r="M52" t="s">
        <v>257</v>
      </c>
      <c r="O52" t="s">
        <v>258</v>
      </c>
      <c r="Q52" t="s">
        <v>195</v>
      </c>
    </row>
    <row r="53" spans="1:17" x14ac:dyDescent="0.35">
      <c r="A53" t="s">
        <v>16</v>
      </c>
      <c r="B53" t="s">
        <v>356</v>
      </c>
      <c r="C53" t="s">
        <v>357</v>
      </c>
      <c r="D53" t="s">
        <v>358</v>
      </c>
      <c r="E53" t="s">
        <v>52</v>
      </c>
      <c r="F53" t="s">
        <v>359</v>
      </c>
      <c r="G53" t="s">
        <v>360</v>
      </c>
      <c r="H53" t="s">
        <v>361</v>
      </c>
      <c r="I53" t="s">
        <v>362</v>
      </c>
      <c r="J53" t="s">
        <v>37</v>
      </c>
      <c r="K53" t="s">
        <v>38</v>
      </c>
      <c r="L53">
        <v>87674</v>
      </c>
      <c r="M53" t="s">
        <v>363</v>
      </c>
      <c r="O53" t="s">
        <v>364</v>
      </c>
      <c r="Q53" t="s">
        <v>60</v>
      </c>
    </row>
    <row r="54" spans="1:17" x14ac:dyDescent="0.35">
      <c r="A54" t="s">
        <v>16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25</v>
      </c>
      <c r="K54" t="s">
        <v>193</v>
      </c>
      <c r="O54" t="s">
        <v>194</v>
      </c>
      <c r="Q54" t="s">
        <v>195</v>
      </c>
    </row>
    <row r="55" spans="1:17" x14ac:dyDescent="0.35">
      <c r="A55" t="s">
        <v>16</v>
      </c>
      <c r="B55" t="s">
        <v>686</v>
      </c>
      <c r="C55" t="s">
        <v>692</v>
      </c>
      <c r="D55" t="s">
        <v>693</v>
      </c>
      <c r="E55" t="s">
        <v>188</v>
      </c>
      <c r="F55" t="s">
        <v>694</v>
      </c>
      <c r="G55" t="s">
        <v>695</v>
      </c>
      <c r="H55" t="s">
        <v>696</v>
      </c>
      <c r="I55" t="s">
        <v>24</v>
      </c>
      <c r="J55" t="s">
        <v>25</v>
      </c>
      <c r="K55" t="s">
        <v>193</v>
      </c>
      <c r="L55">
        <v>84213</v>
      </c>
      <c r="M55" t="s">
        <v>697</v>
      </c>
      <c r="O55" t="s">
        <v>698</v>
      </c>
      <c r="P55" s="2" t="s">
        <v>752</v>
      </c>
      <c r="Q55" t="s">
        <v>195</v>
      </c>
    </row>
    <row r="56" spans="1:17" x14ac:dyDescent="0.35">
      <c r="A56" t="s">
        <v>16</v>
      </c>
      <c r="B56" t="s">
        <v>498</v>
      </c>
      <c r="C56" t="s">
        <v>499</v>
      </c>
      <c r="D56" t="s">
        <v>500</v>
      </c>
      <c r="E56" t="s">
        <v>208</v>
      </c>
      <c r="F56" t="s">
        <v>501</v>
      </c>
      <c r="G56" t="s">
        <v>502</v>
      </c>
      <c r="H56" t="s">
        <v>503</v>
      </c>
      <c r="I56" t="s">
        <v>504</v>
      </c>
      <c r="J56" t="s">
        <v>37</v>
      </c>
      <c r="K56" t="s">
        <v>38</v>
      </c>
      <c r="L56">
        <v>87633</v>
      </c>
      <c r="M56" t="s">
        <v>505</v>
      </c>
      <c r="O56" t="s">
        <v>506</v>
      </c>
      <c r="Q56" t="s">
        <v>215</v>
      </c>
    </row>
    <row r="57" spans="1:17" x14ac:dyDescent="0.35">
      <c r="A57" t="s">
        <v>16</v>
      </c>
      <c r="B57" t="s">
        <v>663</v>
      </c>
      <c r="C57" t="s">
        <v>664</v>
      </c>
      <c r="D57" t="s">
        <v>665</v>
      </c>
      <c r="E57" t="s">
        <v>82</v>
      </c>
      <c r="F57" t="s">
        <v>340</v>
      </c>
      <c r="G57" t="s">
        <v>666</v>
      </c>
      <c r="H57" t="s">
        <v>667</v>
      </c>
      <c r="I57" t="s">
        <v>430</v>
      </c>
      <c r="J57" t="s">
        <v>57</v>
      </c>
      <c r="K57" t="s">
        <v>116</v>
      </c>
      <c r="L57">
        <v>81217</v>
      </c>
      <c r="M57" t="s">
        <v>668</v>
      </c>
      <c r="O57" t="s">
        <v>669</v>
      </c>
      <c r="Q57" t="s">
        <v>89</v>
      </c>
    </row>
    <row r="58" spans="1:17" x14ac:dyDescent="0.35">
      <c r="A58" t="s">
        <v>16</v>
      </c>
      <c r="B58" t="s">
        <v>579</v>
      </c>
      <c r="C58" t="s">
        <v>580</v>
      </c>
      <c r="D58" t="s">
        <v>581</v>
      </c>
      <c r="E58" t="s">
        <v>137</v>
      </c>
      <c r="F58" t="s">
        <v>325</v>
      </c>
      <c r="G58" t="s">
        <v>326</v>
      </c>
      <c r="H58" t="s">
        <v>582</v>
      </c>
      <c r="I58" t="s">
        <v>583</v>
      </c>
      <c r="J58" t="s">
        <v>37</v>
      </c>
      <c r="K58" t="s">
        <v>38</v>
      </c>
      <c r="L58">
        <v>87671</v>
      </c>
      <c r="M58" t="s">
        <v>584</v>
      </c>
      <c r="O58" t="s">
        <v>585</v>
      </c>
      <c r="Q58" t="s">
        <v>144</v>
      </c>
    </row>
    <row r="59" spans="1:17" x14ac:dyDescent="0.35">
      <c r="A59" t="s">
        <v>16</v>
      </c>
      <c r="B59" t="s">
        <v>540</v>
      </c>
      <c r="C59" t="s">
        <v>541</v>
      </c>
      <c r="D59" t="s">
        <v>542</v>
      </c>
      <c r="E59" t="s">
        <v>208</v>
      </c>
      <c r="F59" t="s">
        <v>209</v>
      </c>
      <c r="G59" t="s">
        <v>210</v>
      </c>
      <c r="H59" t="s">
        <v>543</v>
      </c>
      <c r="I59" t="s">
        <v>393</v>
      </c>
      <c r="J59" t="s">
        <v>37</v>
      </c>
      <c r="K59" t="s">
        <v>38</v>
      </c>
      <c r="L59">
        <v>87375</v>
      </c>
      <c r="M59" t="s">
        <v>544</v>
      </c>
      <c r="O59" t="s">
        <v>545</v>
      </c>
      <c r="Q59" t="s">
        <v>215</v>
      </c>
    </row>
    <row r="60" spans="1:17" x14ac:dyDescent="0.35">
      <c r="A60" t="s">
        <v>16</v>
      </c>
      <c r="B60" t="s">
        <v>593</v>
      </c>
      <c r="C60" t="s">
        <v>594</v>
      </c>
      <c r="D60" t="s">
        <v>595</v>
      </c>
      <c r="E60" t="s">
        <v>137</v>
      </c>
      <c r="F60" t="s">
        <v>325</v>
      </c>
      <c r="G60" t="s">
        <v>596</v>
      </c>
      <c r="H60" t="s">
        <v>597</v>
      </c>
      <c r="I60" t="s">
        <v>141</v>
      </c>
      <c r="J60" t="s">
        <v>57</v>
      </c>
      <c r="K60" t="s">
        <v>58</v>
      </c>
      <c r="L60">
        <v>81251</v>
      </c>
      <c r="M60" t="s">
        <v>598</v>
      </c>
      <c r="O60" t="s">
        <v>599</v>
      </c>
      <c r="Q60" t="s">
        <v>144</v>
      </c>
    </row>
    <row r="61" spans="1:17" x14ac:dyDescent="0.35">
      <c r="A61" t="s">
        <v>16</v>
      </c>
      <c r="B61" t="s">
        <v>439</v>
      </c>
      <c r="C61" t="s">
        <v>440</v>
      </c>
      <c r="D61" t="s">
        <v>441</v>
      </c>
      <c r="E61" t="s">
        <v>170</v>
      </c>
      <c r="F61" t="s">
        <v>442</v>
      </c>
      <c r="G61" t="s">
        <v>443</v>
      </c>
      <c r="H61" t="s">
        <v>444</v>
      </c>
      <c r="I61" t="s">
        <v>445</v>
      </c>
      <c r="J61" t="s">
        <v>37</v>
      </c>
      <c r="K61" t="s">
        <v>38</v>
      </c>
      <c r="L61">
        <v>87677</v>
      </c>
      <c r="M61" t="s">
        <v>446</v>
      </c>
      <c r="O61" t="s">
        <v>447</v>
      </c>
      <c r="Q61" t="s">
        <v>176</v>
      </c>
    </row>
    <row r="62" spans="1:17" x14ac:dyDescent="0.35">
      <c r="A62" t="s">
        <v>16</v>
      </c>
      <c r="B62" t="s">
        <v>732</v>
      </c>
      <c r="C62" t="s">
        <v>733</v>
      </c>
      <c r="D62" t="s">
        <v>734</v>
      </c>
      <c r="E62" t="s">
        <v>72</v>
      </c>
      <c r="F62" t="s">
        <v>73</v>
      </c>
      <c r="G62" t="s">
        <v>735</v>
      </c>
      <c r="H62" t="s">
        <v>736</v>
      </c>
      <c r="I62" t="s">
        <v>526</v>
      </c>
      <c r="J62" t="s">
        <v>25</v>
      </c>
      <c r="K62" t="s">
        <v>26</v>
      </c>
      <c r="L62">
        <v>87120</v>
      </c>
      <c r="M62" t="s">
        <v>737</v>
      </c>
      <c r="O62" t="s">
        <v>738</v>
      </c>
      <c r="Q62" t="s">
        <v>78</v>
      </c>
    </row>
    <row r="63" spans="1:17" x14ac:dyDescent="0.35">
      <c r="A63" t="s">
        <v>16</v>
      </c>
      <c r="B63" t="s">
        <v>515</v>
      </c>
      <c r="C63" t="s">
        <v>521</v>
      </c>
      <c r="D63" t="s">
        <v>522</v>
      </c>
      <c r="E63" t="s">
        <v>72</v>
      </c>
      <c r="F63" t="s">
        <v>523</v>
      </c>
      <c r="G63" t="s">
        <v>524</v>
      </c>
      <c r="H63" t="s">
        <v>525</v>
      </c>
      <c r="I63" t="s">
        <v>526</v>
      </c>
      <c r="J63" t="s">
        <v>25</v>
      </c>
      <c r="K63" t="s">
        <v>26</v>
      </c>
      <c r="L63">
        <v>87222</v>
      </c>
      <c r="M63" t="s">
        <v>527</v>
      </c>
      <c r="O63" t="s">
        <v>528</v>
      </c>
      <c r="Q63" t="s">
        <v>78</v>
      </c>
    </row>
    <row r="64" spans="1:17" x14ac:dyDescent="0.35">
      <c r="A64" t="s">
        <v>16</v>
      </c>
      <c r="B64" t="s">
        <v>606</v>
      </c>
      <c r="C64" t="s">
        <v>607</v>
      </c>
      <c r="D64" t="s">
        <v>608</v>
      </c>
      <c r="E64" t="s">
        <v>82</v>
      </c>
      <c r="F64" t="s">
        <v>340</v>
      </c>
      <c r="G64" t="s">
        <v>609</v>
      </c>
      <c r="H64" t="s">
        <v>610</v>
      </c>
      <c r="I64" t="s">
        <v>430</v>
      </c>
      <c r="J64" t="s">
        <v>25</v>
      </c>
      <c r="K64" t="s">
        <v>26</v>
      </c>
      <c r="L64">
        <v>87224</v>
      </c>
      <c r="O64" t="s">
        <v>611</v>
      </c>
      <c r="Q64" t="s">
        <v>89</v>
      </c>
    </row>
    <row r="65" spans="1:17" x14ac:dyDescent="0.35">
      <c r="A65" t="s">
        <v>16</v>
      </c>
      <c r="B65" t="s">
        <v>462</v>
      </c>
      <c r="C65" t="s">
        <v>463</v>
      </c>
      <c r="D65" t="s">
        <v>464</v>
      </c>
      <c r="E65" t="s">
        <v>72</v>
      </c>
      <c r="F65" t="s">
        <v>162</v>
      </c>
      <c r="G65" t="s">
        <v>368</v>
      </c>
      <c r="H65" t="s">
        <v>465</v>
      </c>
      <c r="I65" t="s">
        <v>370</v>
      </c>
      <c r="J65" t="s">
        <v>57</v>
      </c>
      <c r="K65" t="s">
        <v>116</v>
      </c>
      <c r="L65">
        <v>81706</v>
      </c>
      <c r="M65" t="s">
        <v>466</v>
      </c>
      <c r="O65" t="s">
        <v>467</v>
      </c>
      <c r="Q65" t="s">
        <v>78</v>
      </c>
    </row>
    <row r="66" spans="1:17" x14ac:dyDescent="0.35">
      <c r="A66" t="s">
        <v>16</v>
      </c>
      <c r="B66" t="s">
        <v>715</v>
      </c>
      <c r="C66" t="s">
        <v>716</v>
      </c>
      <c r="D66" t="s">
        <v>717</v>
      </c>
      <c r="E66" t="s">
        <v>718</v>
      </c>
      <c r="F66" t="s">
        <v>718</v>
      </c>
      <c r="G66" t="s">
        <v>719</v>
      </c>
      <c r="H66" t="s">
        <v>720</v>
      </c>
      <c r="I66" t="s">
        <v>24</v>
      </c>
      <c r="J66" t="s">
        <v>57</v>
      </c>
      <c r="K66" t="s">
        <v>58</v>
      </c>
      <c r="L66">
        <v>81265</v>
      </c>
      <c r="M66" t="s">
        <v>721</v>
      </c>
      <c r="O66" t="s">
        <v>722</v>
      </c>
      <c r="P66" s="2" t="s">
        <v>752</v>
      </c>
      <c r="Q66" t="s">
        <v>723</v>
      </c>
    </row>
    <row r="67" spans="1:17" x14ac:dyDescent="0.35">
      <c r="A67" t="s">
        <v>16</v>
      </c>
      <c r="B67" t="s">
        <v>277</v>
      </c>
      <c r="C67" t="s">
        <v>285</v>
      </c>
      <c r="D67" t="s">
        <v>286</v>
      </c>
      <c r="E67" t="s">
        <v>72</v>
      </c>
      <c r="F67" t="s">
        <v>73</v>
      </c>
      <c r="G67" t="s">
        <v>156</v>
      </c>
      <c r="H67" t="s">
        <v>287</v>
      </c>
      <c r="I67" t="s">
        <v>288</v>
      </c>
      <c r="J67" t="s">
        <v>37</v>
      </c>
      <c r="K67" t="s">
        <v>38</v>
      </c>
      <c r="O67" t="s">
        <v>289</v>
      </c>
      <c r="Q67" t="s">
        <v>78</v>
      </c>
    </row>
    <row r="68" spans="1:17" x14ac:dyDescent="0.35">
      <c r="A68" t="s">
        <v>16</v>
      </c>
      <c r="B68" t="s">
        <v>305</v>
      </c>
      <c r="C68" t="s">
        <v>306</v>
      </c>
      <c r="D68" t="s">
        <v>307</v>
      </c>
      <c r="E68" t="s">
        <v>82</v>
      </c>
      <c r="F68" t="s">
        <v>83</v>
      </c>
      <c r="G68" t="s">
        <v>308</v>
      </c>
      <c r="H68" t="s">
        <v>309</v>
      </c>
      <c r="I68" t="s">
        <v>310</v>
      </c>
      <c r="J68" t="s">
        <v>25</v>
      </c>
      <c r="K68" t="s">
        <v>26</v>
      </c>
      <c r="L68">
        <v>87110</v>
      </c>
      <c r="M68" t="s">
        <v>311</v>
      </c>
      <c r="O68" t="s">
        <v>312</v>
      </c>
      <c r="Q68" t="s">
        <v>89</v>
      </c>
    </row>
    <row r="69" spans="1:17" x14ac:dyDescent="0.35">
      <c r="A69" t="s">
        <v>16</v>
      </c>
      <c r="B69" t="s">
        <v>177</v>
      </c>
      <c r="C69" t="s">
        <v>178</v>
      </c>
      <c r="D69" t="s">
        <v>179</v>
      </c>
      <c r="E69" t="s">
        <v>20</v>
      </c>
      <c r="F69" t="s">
        <v>112</v>
      </c>
      <c r="G69" t="s">
        <v>180</v>
      </c>
      <c r="H69" t="s">
        <v>181</v>
      </c>
      <c r="I69" t="s">
        <v>182</v>
      </c>
      <c r="J69" t="s">
        <v>37</v>
      </c>
      <c r="K69" t="s">
        <v>38</v>
      </c>
      <c r="L69">
        <v>87368</v>
      </c>
      <c r="M69" t="s">
        <v>183</v>
      </c>
      <c r="O69" t="s">
        <v>184</v>
      </c>
      <c r="Q69" t="s">
        <v>29</v>
      </c>
    </row>
    <row r="70" spans="1:17" x14ac:dyDescent="0.35">
      <c r="A70" t="s">
        <v>16</v>
      </c>
      <c r="B70" t="s">
        <v>298</v>
      </c>
      <c r="C70" t="s">
        <v>299</v>
      </c>
      <c r="D70" t="s">
        <v>300</v>
      </c>
      <c r="E70" t="s">
        <v>101</v>
      </c>
      <c r="F70" t="s">
        <v>102</v>
      </c>
      <c r="G70" t="s">
        <v>301</v>
      </c>
      <c r="H70" t="s">
        <v>302</v>
      </c>
      <c r="I70" t="s">
        <v>303</v>
      </c>
      <c r="J70" t="s">
        <v>37</v>
      </c>
      <c r="K70" t="s">
        <v>38</v>
      </c>
      <c r="L70">
        <v>87372</v>
      </c>
      <c r="O70" t="s">
        <v>304</v>
      </c>
      <c r="Q70" t="s">
        <v>108</v>
      </c>
    </row>
    <row r="71" spans="1:17" x14ac:dyDescent="0.35">
      <c r="A71" t="s">
        <v>16</v>
      </c>
      <c r="B71" t="s">
        <v>490</v>
      </c>
      <c r="C71" t="s">
        <v>491</v>
      </c>
      <c r="D71" t="s">
        <v>492</v>
      </c>
      <c r="E71" t="s">
        <v>52</v>
      </c>
      <c r="F71" t="s">
        <v>493</v>
      </c>
      <c r="G71" t="s">
        <v>494</v>
      </c>
      <c r="H71" t="s">
        <v>495</v>
      </c>
      <c r="I71" t="s">
        <v>352</v>
      </c>
      <c r="J71" t="s">
        <v>37</v>
      </c>
      <c r="K71" t="s">
        <v>38</v>
      </c>
      <c r="L71">
        <v>87363</v>
      </c>
      <c r="M71" t="s">
        <v>496</v>
      </c>
      <c r="O71" t="s">
        <v>497</v>
      </c>
      <c r="P71" s="2" t="s">
        <v>752</v>
      </c>
      <c r="Q71" t="s">
        <v>60</v>
      </c>
    </row>
    <row r="72" spans="1:17" x14ac:dyDescent="0.35">
      <c r="A72" t="s">
        <v>16</v>
      </c>
      <c r="B72" t="s">
        <v>270</v>
      </c>
      <c r="C72" t="s">
        <v>271</v>
      </c>
      <c r="D72" t="s">
        <v>272</v>
      </c>
      <c r="E72" t="s">
        <v>188</v>
      </c>
      <c r="F72" t="s">
        <v>189</v>
      </c>
      <c r="G72" t="s">
        <v>273</v>
      </c>
      <c r="H72" t="s">
        <v>274</v>
      </c>
      <c r="I72" t="s">
        <v>256</v>
      </c>
      <c r="J72" t="s">
        <v>25</v>
      </c>
      <c r="K72" t="s">
        <v>193</v>
      </c>
      <c r="L72">
        <v>84287</v>
      </c>
      <c r="M72" t="s">
        <v>275</v>
      </c>
      <c r="O72" t="s">
        <v>276</v>
      </c>
      <c r="Q72" t="s">
        <v>195</v>
      </c>
    </row>
    <row r="73" spans="1:17" x14ac:dyDescent="0.35">
      <c r="A73" t="s">
        <v>16</v>
      </c>
      <c r="B73" t="s">
        <v>404</v>
      </c>
      <c r="C73" t="s">
        <v>405</v>
      </c>
      <c r="D73" t="s">
        <v>406</v>
      </c>
      <c r="E73" t="s">
        <v>208</v>
      </c>
      <c r="F73" t="s">
        <v>407</v>
      </c>
      <c r="G73" t="s">
        <v>408</v>
      </c>
      <c r="H73" t="s">
        <v>409</v>
      </c>
      <c r="I73" t="s">
        <v>24</v>
      </c>
      <c r="J73" t="s">
        <v>37</v>
      </c>
      <c r="K73" t="s">
        <v>38</v>
      </c>
      <c r="L73">
        <v>87307</v>
      </c>
      <c r="M73" t="s">
        <v>410</v>
      </c>
      <c r="O73" t="s">
        <v>411</v>
      </c>
      <c r="P73" s="2" t="s">
        <v>752</v>
      </c>
      <c r="Q73" t="s">
        <v>215</v>
      </c>
    </row>
    <row r="74" spans="1:17" x14ac:dyDescent="0.35">
      <c r="A74" t="s">
        <v>16</v>
      </c>
      <c r="B74" t="s">
        <v>216</v>
      </c>
      <c r="C74" t="s">
        <v>217</v>
      </c>
      <c r="D74" t="s">
        <v>218</v>
      </c>
      <c r="E74" t="s">
        <v>137</v>
      </c>
      <c r="F74" t="s">
        <v>219</v>
      </c>
      <c r="G74" t="s">
        <v>220</v>
      </c>
      <c r="H74" t="s">
        <v>221</v>
      </c>
      <c r="I74" t="s">
        <v>222</v>
      </c>
      <c r="J74" t="s">
        <v>57</v>
      </c>
      <c r="K74" t="s">
        <v>58</v>
      </c>
      <c r="L74">
        <v>81404</v>
      </c>
      <c r="M74" t="s">
        <v>223</v>
      </c>
      <c r="O74" t="s">
        <v>224</v>
      </c>
      <c r="Q74" t="s">
        <v>144</v>
      </c>
    </row>
    <row r="75" spans="1:17" x14ac:dyDescent="0.35">
      <c r="A75" t="s">
        <v>16</v>
      </c>
      <c r="B75" t="s">
        <v>250</v>
      </c>
      <c r="C75" t="s">
        <v>259</v>
      </c>
      <c r="D75" t="s">
        <v>260</v>
      </c>
      <c r="E75" t="s">
        <v>52</v>
      </c>
      <c r="F75" t="s">
        <v>53</v>
      </c>
      <c r="G75" t="s">
        <v>54</v>
      </c>
      <c r="H75" t="s">
        <v>261</v>
      </c>
      <c r="I75" t="s">
        <v>262</v>
      </c>
      <c r="J75" t="s">
        <v>57</v>
      </c>
      <c r="K75" t="s">
        <v>58</v>
      </c>
      <c r="L75">
        <v>81322</v>
      </c>
      <c r="M75" t="s">
        <v>263</v>
      </c>
      <c r="O75" t="s">
        <v>264</v>
      </c>
      <c r="Q75" t="s">
        <v>60</v>
      </c>
    </row>
    <row r="76" spans="1:17" x14ac:dyDescent="0.35">
      <c r="A76" t="s">
        <v>16</v>
      </c>
      <c r="B76" t="s">
        <v>571</v>
      </c>
      <c r="C76" t="s">
        <v>572</v>
      </c>
      <c r="D76" t="s">
        <v>573</v>
      </c>
      <c r="E76" t="s">
        <v>137</v>
      </c>
      <c r="F76" t="s">
        <v>574</v>
      </c>
      <c r="G76" t="s">
        <v>575</v>
      </c>
      <c r="H76" t="s">
        <v>576</v>
      </c>
      <c r="I76" t="s">
        <v>24</v>
      </c>
      <c r="J76" t="s">
        <v>57</v>
      </c>
      <c r="K76" t="s">
        <v>58</v>
      </c>
      <c r="L76">
        <v>81223</v>
      </c>
      <c r="M76" t="s">
        <v>577</v>
      </c>
      <c r="O76" t="s">
        <v>578</v>
      </c>
      <c r="P76" s="2" t="s">
        <v>752</v>
      </c>
      <c r="Q76" t="s">
        <v>144</v>
      </c>
    </row>
    <row r="77" spans="1:17" x14ac:dyDescent="0.35">
      <c r="A77" t="s">
        <v>16</v>
      </c>
      <c r="B77" t="s">
        <v>119</v>
      </c>
      <c r="C77" t="s">
        <v>120</v>
      </c>
      <c r="D77" t="s">
        <v>121</v>
      </c>
      <c r="E77" t="s">
        <v>82</v>
      </c>
      <c r="F77" t="s">
        <v>122</v>
      </c>
      <c r="G77" t="s">
        <v>123</v>
      </c>
      <c r="H77" t="s">
        <v>124</v>
      </c>
      <c r="I77" t="s">
        <v>24</v>
      </c>
      <c r="J77" t="s">
        <v>25</v>
      </c>
      <c r="K77" t="s">
        <v>26</v>
      </c>
      <c r="L77">
        <v>87155</v>
      </c>
      <c r="M77" t="s">
        <v>125</v>
      </c>
      <c r="O77" t="s">
        <v>126</v>
      </c>
      <c r="P77" s="2" t="s">
        <v>752</v>
      </c>
      <c r="Q77" t="s">
        <v>89</v>
      </c>
    </row>
    <row r="78" spans="1:17" x14ac:dyDescent="0.35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>
        <v>87201</v>
      </c>
      <c r="M78" t="s">
        <v>27</v>
      </c>
      <c r="O78" t="s">
        <v>28</v>
      </c>
      <c r="P78" s="2" t="s">
        <v>752</v>
      </c>
      <c r="Q78" t="s">
        <v>29</v>
      </c>
    </row>
    <row r="79" spans="1:17" x14ac:dyDescent="0.35">
      <c r="A79" t="s">
        <v>16</v>
      </c>
      <c r="B79" t="s">
        <v>686</v>
      </c>
      <c r="C79" t="s">
        <v>699</v>
      </c>
      <c r="D79" t="s">
        <v>700</v>
      </c>
      <c r="E79" t="s">
        <v>52</v>
      </c>
      <c r="F79" t="s">
        <v>359</v>
      </c>
      <c r="G79" t="s">
        <v>701</v>
      </c>
      <c r="H79" t="s">
        <v>702</v>
      </c>
      <c r="I79" t="s">
        <v>362</v>
      </c>
      <c r="J79" t="s">
        <v>37</v>
      </c>
      <c r="K79" t="s">
        <v>38</v>
      </c>
      <c r="L79">
        <v>87681</v>
      </c>
      <c r="O79" t="s">
        <v>703</v>
      </c>
      <c r="Q79" t="s">
        <v>60</v>
      </c>
    </row>
    <row r="80" spans="1:17" x14ac:dyDescent="0.35">
      <c r="A80" t="s">
        <v>16</v>
      </c>
      <c r="B80" t="s">
        <v>636</v>
      </c>
      <c r="C80" t="s">
        <v>530</v>
      </c>
      <c r="D80" t="s">
        <v>643</v>
      </c>
      <c r="E80" t="s">
        <v>82</v>
      </c>
      <c r="F80" t="s">
        <v>83</v>
      </c>
      <c r="G80" t="s">
        <v>644</v>
      </c>
      <c r="H80" t="s">
        <v>645</v>
      </c>
      <c r="I80" t="s">
        <v>86</v>
      </c>
      <c r="J80" t="s">
        <v>25</v>
      </c>
      <c r="K80" t="s">
        <v>26</v>
      </c>
      <c r="L80">
        <v>87231</v>
      </c>
      <c r="M80" t="s">
        <v>646</v>
      </c>
      <c r="O80" t="s">
        <v>647</v>
      </c>
      <c r="Q80" t="s">
        <v>89</v>
      </c>
    </row>
    <row r="81" spans="1:17" x14ac:dyDescent="0.35">
      <c r="A81" t="s">
        <v>16</v>
      </c>
      <c r="B81" t="s">
        <v>529</v>
      </c>
      <c r="C81" t="s">
        <v>530</v>
      </c>
      <c r="D81" t="s">
        <v>531</v>
      </c>
      <c r="E81" t="s">
        <v>348</v>
      </c>
      <c r="F81" t="s">
        <v>532</v>
      </c>
      <c r="G81" t="s">
        <v>533</v>
      </c>
      <c r="H81" t="s">
        <v>534</v>
      </c>
      <c r="I81" t="s">
        <v>535</v>
      </c>
      <c r="J81" t="s">
        <v>536</v>
      </c>
      <c r="K81" t="s">
        <v>537</v>
      </c>
      <c r="L81">
        <v>88006</v>
      </c>
      <c r="M81" t="s">
        <v>538</v>
      </c>
      <c r="O81" t="s">
        <v>539</v>
      </c>
      <c r="Q81" t="s">
        <v>355</v>
      </c>
    </row>
    <row r="82" spans="1:17" x14ac:dyDescent="0.35">
      <c r="A82" t="s">
        <v>16</v>
      </c>
      <c r="B82" t="s">
        <v>425</v>
      </c>
      <c r="C82" t="s">
        <v>433</v>
      </c>
      <c r="D82" t="s">
        <v>434</v>
      </c>
      <c r="E82" t="s">
        <v>82</v>
      </c>
      <c r="F82" t="s">
        <v>340</v>
      </c>
      <c r="G82" t="s">
        <v>435</v>
      </c>
      <c r="H82" t="s">
        <v>436</v>
      </c>
      <c r="I82" t="s">
        <v>310</v>
      </c>
      <c r="J82" t="s">
        <v>57</v>
      </c>
      <c r="K82" t="s">
        <v>116</v>
      </c>
      <c r="L82">
        <v>81545</v>
      </c>
      <c r="M82" t="s">
        <v>437</v>
      </c>
      <c r="O82" t="s">
        <v>438</v>
      </c>
      <c r="Q82" t="s">
        <v>89</v>
      </c>
    </row>
    <row r="83" spans="1:17" x14ac:dyDescent="0.35">
      <c r="A83" t="s">
        <v>16</v>
      </c>
      <c r="B83" t="s">
        <v>250</v>
      </c>
      <c r="C83" t="s">
        <v>265</v>
      </c>
      <c r="D83" t="s">
        <v>266</v>
      </c>
      <c r="E83" t="s">
        <v>130</v>
      </c>
      <c r="F83" t="s">
        <v>130</v>
      </c>
      <c r="G83" t="s">
        <v>130</v>
      </c>
      <c r="H83" t="s">
        <v>267</v>
      </c>
      <c r="I83" t="s">
        <v>24</v>
      </c>
      <c r="J83" t="s">
        <v>25</v>
      </c>
      <c r="K83" t="s">
        <v>26</v>
      </c>
      <c r="L83">
        <v>87202</v>
      </c>
      <c r="M83" t="s">
        <v>268</v>
      </c>
      <c r="O83" t="s">
        <v>269</v>
      </c>
      <c r="P83" s="2" t="s">
        <v>752</v>
      </c>
      <c r="Q83" t="s">
        <v>133</v>
      </c>
    </row>
    <row r="84" spans="1:17" x14ac:dyDescent="0.35">
      <c r="A84" t="s">
        <v>16</v>
      </c>
      <c r="B84" t="s">
        <v>546</v>
      </c>
      <c r="C84" t="s">
        <v>554</v>
      </c>
      <c r="D84" t="s">
        <v>555</v>
      </c>
      <c r="E84" t="s">
        <v>556</v>
      </c>
      <c r="F84" t="s">
        <v>557</v>
      </c>
      <c r="G84" t="s">
        <v>558</v>
      </c>
      <c r="H84" t="s">
        <v>559</v>
      </c>
      <c r="I84" t="s">
        <v>24</v>
      </c>
      <c r="J84" t="s">
        <v>37</v>
      </c>
      <c r="K84" t="s">
        <v>38</v>
      </c>
      <c r="L84">
        <v>87349</v>
      </c>
      <c r="M84" t="s">
        <v>560</v>
      </c>
      <c r="O84" t="s">
        <v>561</v>
      </c>
      <c r="P84" s="2" t="s">
        <v>752</v>
      </c>
      <c r="Q84" t="s">
        <v>562</v>
      </c>
    </row>
    <row r="85" spans="1:17" x14ac:dyDescent="0.35">
      <c r="A85" t="s">
        <v>16</v>
      </c>
      <c r="B85" t="s">
        <v>127</v>
      </c>
      <c r="C85" t="s">
        <v>128</v>
      </c>
      <c r="D85" t="s">
        <v>129</v>
      </c>
      <c r="E85" t="s">
        <v>130</v>
      </c>
      <c r="F85" t="s">
        <v>130</v>
      </c>
      <c r="G85" t="s">
        <v>130</v>
      </c>
      <c r="H85" t="s">
        <v>131</v>
      </c>
      <c r="I85" t="s">
        <v>24</v>
      </c>
      <c r="J85" t="s">
        <v>25</v>
      </c>
      <c r="K85" t="s">
        <v>26</v>
      </c>
      <c r="O85" t="s">
        <v>132</v>
      </c>
      <c r="Q85" t="s">
        <v>133</v>
      </c>
    </row>
    <row r="86" spans="1:17" x14ac:dyDescent="0.35">
      <c r="A86" t="s">
        <v>16</v>
      </c>
      <c r="B86" t="s">
        <v>418</v>
      </c>
      <c r="C86" t="s">
        <v>419</v>
      </c>
      <c r="D86" t="s">
        <v>420</v>
      </c>
      <c r="E86" t="s">
        <v>52</v>
      </c>
      <c r="F86" t="s">
        <v>148</v>
      </c>
      <c r="G86" t="s">
        <v>421</v>
      </c>
      <c r="H86" t="s">
        <v>422</v>
      </c>
      <c r="I86" t="s">
        <v>262</v>
      </c>
      <c r="J86" t="s">
        <v>57</v>
      </c>
      <c r="K86" t="s">
        <v>58</v>
      </c>
      <c r="L86">
        <v>81417</v>
      </c>
      <c r="M86" t="s">
        <v>423</v>
      </c>
      <c r="O86" t="s">
        <v>424</v>
      </c>
      <c r="Q86" t="s">
        <v>60</v>
      </c>
    </row>
    <row r="87" spans="1:17" x14ac:dyDescent="0.35">
      <c r="A87" t="s">
        <v>16</v>
      </c>
      <c r="B87" t="s">
        <v>365</v>
      </c>
      <c r="C87" t="s">
        <v>366</v>
      </c>
      <c r="D87" t="s">
        <v>367</v>
      </c>
      <c r="E87" t="s">
        <v>72</v>
      </c>
      <c r="F87" t="s">
        <v>162</v>
      </c>
      <c r="G87" t="s">
        <v>368</v>
      </c>
      <c r="H87" t="s">
        <v>369</v>
      </c>
      <c r="I87" t="s">
        <v>370</v>
      </c>
      <c r="J87" t="s">
        <v>25</v>
      </c>
      <c r="K87" t="s">
        <v>26</v>
      </c>
      <c r="L87">
        <v>87119</v>
      </c>
      <c r="M87" t="s">
        <v>371</v>
      </c>
      <c r="O87" t="s">
        <v>372</v>
      </c>
      <c r="Q87" t="s">
        <v>78</v>
      </c>
    </row>
    <row r="88" spans="1:17" x14ac:dyDescent="0.35">
      <c r="A88" t="s">
        <v>16</v>
      </c>
      <c r="B88" t="s">
        <v>345</v>
      </c>
      <c r="C88" t="s">
        <v>346</v>
      </c>
      <c r="D88" t="s">
        <v>347</v>
      </c>
      <c r="E88" t="s">
        <v>348</v>
      </c>
      <c r="F88" t="s">
        <v>349</v>
      </c>
      <c r="G88" t="s">
        <v>350</v>
      </c>
      <c r="H88" t="s">
        <v>351</v>
      </c>
      <c r="I88" t="s">
        <v>352</v>
      </c>
      <c r="J88" t="s">
        <v>25</v>
      </c>
      <c r="K88" t="s">
        <v>26</v>
      </c>
      <c r="L88">
        <v>87182</v>
      </c>
      <c r="M88" t="s">
        <v>353</v>
      </c>
      <c r="O88" t="s">
        <v>354</v>
      </c>
      <c r="P88" s="2" t="s">
        <v>752</v>
      </c>
      <c r="Q88" t="s">
        <v>355</v>
      </c>
    </row>
    <row r="89" spans="1:17" x14ac:dyDescent="0.35">
      <c r="A89" t="s">
        <v>16</v>
      </c>
      <c r="B89" t="s">
        <v>468</v>
      </c>
      <c r="C89" t="s">
        <v>484</v>
      </c>
      <c r="D89" t="s">
        <v>485</v>
      </c>
      <c r="E89" t="s">
        <v>137</v>
      </c>
      <c r="F89" t="s">
        <v>219</v>
      </c>
      <c r="G89" t="s">
        <v>486</v>
      </c>
      <c r="H89" t="s">
        <v>487</v>
      </c>
      <c r="I89" t="s">
        <v>222</v>
      </c>
      <c r="J89" t="s">
        <v>37</v>
      </c>
      <c r="K89" t="s">
        <v>38</v>
      </c>
      <c r="L89">
        <v>87370</v>
      </c>
      <c r="M89" t="s">
        <v>488</v>
      </c>
      <c r="O89" t="s">
        <v>489</v>
      </c>
      <c r="Q89" t="s">
        <v>144</v>
      </c>
    </row>
    <row r="90" spans="1:17" x14ac:dyDescent="0.35">
      <c r="A90" t="s">
        <v>16</v>
      </c>
      <c r="B90" t="s">
        <v>109</v>
      </c>
      <c r="C90" t="s">
        <v>110</v>
      </c>
      <c r="D90" t="s">
        <v>111</v>
      </c>
      <c r="E90" t="s">
        <v>20</v>
      </c>
      <c r="F90" t="s">
        <v>112</v>
      </c>
      <c r="G90" t="s">
        <v>113</v>
      </c>
      <c r="H90" t="s">
        <v>114</v>
      </c>
      <c r="I90" t="s">
        <v>115</v>
      </c>
      <c r="J90" t="s">
        <v>57</v>
      </c>
      <c r="K90" t="s">
        <v>116</v>
      </c>
      <c r="L90">
        <v>81552</v>
      </c>
      <c r="M90" t="s">
        <v>117</v>
      </c>
      <c r="O90" t="s">
        <v>118</v>
      </c>
      <c r="Q90" t="s">
        <v>29</v>
      </c>
    </row>
    <row r="91" spans="1:17" x14ac:dyDescent="0.35">
      <c r="A91" t="s">
        <v>16</v>
      </c>
      <c r="B91" t="s">
        <v>277</v>
      </c>
      <c r="C91" t="s">
        <v>290</v>
      </c>
      <c r="D91" t="s">
        <v>291</v>
      </c>
      <c r="E91" t="s">
        <v>82</v>
      </c>
      <c r="F91" t="s">
        <v>292</v>
      </c>
      <c r="G91" t="s">
        <v>293</v>
      </c>
      <c r="H91" t="s">
        <v>294</v>
      </c>
      <c r="I91" t="s">
        <v>295</v>
      </c>
      <c r="J91" t="s">
        <v>57</v>
      </c>
      <c r="K91" t="s">
        <v>116</v>
      </c>
      <c r="L91">
        <v>81236</v>
      </c>
      <c r="M91" t="s">
        <v>296</v>
      </c>
      <c r="O91" t="s">
        <v>297</v>
      </c>
      <c r="Q91" t="s">
        <v>89</v>
      </c>
    </row>
    <row r="92" spans="1:17" x14ac:dyDescent="0.35">
      <c r="A92" t="s">
        <v>16</v>
      </c>
      <c r="B92" t="s">
        <v>739</v>
      </c>
      <c r="C92" t="s">
        <v>740</v>
      </c>
      <c r="D92" t="s">
        <v>741</v>
      </c>
      <c r="E92" t="s">
        <v>188</v>
      </c>
      <c r="F92" t="s">
        <v>189</v>
      </c>
      <c r="G92" t="s">
        <v>742</v>
      </c>
      <c r="H92" t="s">
        <v>743</v>
      </c>
      <c r="I92" t="s">
        <v>192</v>
      </c>
      <c r="J92" t="s">
        <v>25</v>
      </c>
      <c r="K92" t="s">
        <v>193</v>
      </c>
      <c r="O92" t="s">
        <v>744</v>
      </c>
      <c r="Q92" t="s">
        <v>195</v>
      </c>
    </row>
    <row r="93" spans="1:17" x14ac:dyDescent="0.35">
      <c r="A93" t="s">
        <v>16</v>
      </c>
      <c r="B93" t="s">
        <v>40</v>
      </c>
      <c r="C93" t="s">
        <v>70</v>
      </c>
      <c r="D93" t="s">
        <v>71</v>
      </c>
      <c r="E93" t="s">
        <v>72</v>
      </c>
      <c r="F93" t="s">
        <v>73</v>
      </c>
      <c r="G93" t="s">
        <v>74</v>
      </c>
      <c r="H93" t="s">
        <v>75</v>
      </c>
      <c r="I93" t="s">
        <v>76</v>
      </c>
      <c r="J93" t="s">
        <v>37</v>
      </c>
      <c r="K93" t="s">
        <v>38</v>
      </c>
      <c r="O93" t="s">
        <v>77</v>
      </c>
      <c r="Q93" t="s">
        <v>78</v>
      </c>
    </row>
    <row r="94" spans="1:17" x14ac:dyDescent="0.35">
      <c r="A94" t="s">
        <v>16</v>
      </c>
      <c r="B94" t="s">
        <v>593</v>
      </c>
      <c r="C94" t="s">
        <v>600</v>
      </c>
      <c r="D94" t="s">
        <v>601</v>
      </c>
      <c r="E94" t="s">
        <v>43</v>
      </c>
      <c r="F94" t="s">
        <v>457</v>
      </c>
      <c r="G94" t="s">
        <v>458</v>
      </c>
      <c r="H94" t="s">
        <v>602</v>
      </c>
      <c r="I94" t="s">
        <v>603</v>
      </c>
      <c r="J94" t="s">
        <v>25</v>
      </c>
      <c r="K94" t="s">
        <v>26</v>
      </c>
      <c r="L94">
        <v>87241</v>
      </c>
      <c r="M94" t="s">
        <v>604</v>
      </c>
      <c r="O94" t="s">
        <v>605</v>
      </c>
      <c r="Q94" t="s">
        <v>49</v>
      </c>
    </row>
  </sheetData>
  <sortState xmlns:xlrd2="http://schemas.microsoft.com/office/spreadsheetml/2017/richdata2" ref="A2:Q96">
    <sortCondition ref="C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tabSelected="1" workbookViewId="0">
      <selection activeCell="B28" sqref="B28"/>
    </sheetView>
  </sheetViews>
  <sheetFormatPr defaultRowHeight="14.5" x14ac:dyDescent="0.35"/>
  <cols>
    <col min="1" max="1" width="51.26953125" bestFit="1" customWidth="1"/>
    <col min="2" max="2" width="51.26953125" customWidth="1"/>
    <col min="3" max="3" width="24.08984375" bestFit="1" customWidth="1"/>
    <col min="5" max="5" width="47.54296875" bestFit="1" customWidth="1"/>
    <col min="6" max="6" width="53.36328125" bestFit="1" customWidth="1"/>
    <col min="9" max="9" width="59.90625" bestFit="1" customWidth="1"/>
    <col min="10" max="10" width="62.26953125" bestFit="1" customWidth="1"/>
    <col min="11" max="11" width="59.54296875" bestFit="1" customWidth="1"/>
    <col min="12" max="12" width="60.08984375" bestFit="1" customWidth="1"/>
  </cols>
  <sheetData>
    <row r="1" spans="1:12" s="1" customFormat="1" ht="18.5" x14ac:dyDescent="0.35">
      <c r="A1" s="1" t="s">
        <v>842</v>
      </c>
      <c r="B1" s="1" t="s">
        <v>844</v>
      </c>
      <c r="C1" s="1" t="s">
        <v>751</v>
      </c>
      <c r="E1" s="1" t="s">
        <v>843</v>
      </c>
      <c r="F1" s="1" t="s">
        <v>844</v>
      </c>
      <c r="G1" s="1" t="s">
        <v>751</v>
      </c>
      <c r="I1" s="3" t="s">
        <v>927</v>
      </c>
      <c r="J1" s="3"/>
      <c r="K1" s="3"/>
      <c r="L1" s="3"/>
    </row>
    <row r="2" spans="1:12" x14ac:dyDescent="0.35">
      <c r="A2" t="s">
        <v>130</v>
      </c>
      <c r="B2" t="s">
        <v>133</v>
      </c>
      <c r="C2" t="s">
        <v>754</v>
      </c>
      <c r="E2" t="s">
        <v>771</v>
      </c>
      <c r="F2" t="s">
        <v>133</v>
      </c>
      <c r="I2" t="str">
        <f>$F2&amp;"_owner"</f>
        <v>SP_Amministratore_Delegato_owner</v>
      </c>
      <c r="J2" t="str">
        <f>$F2&amp;"_approver"</f>
        <v>SP_Amministratore_Delegato_approver</v>
      </c>
      <c r="K2" t="str">
        <f>$F2&amp;"_writer"</f>
        <v>SP_Amministratore_Delegato_writer</v>
      </c>
      <c r="L2" t="str">
        <f>$F2&amp;"_reader"</f>
        <v>SP_Amministratore_Delegato_reader</v>
      </c>
    </row>
    <row r="3" spans="1:12" x14ac:dyDescent="0.35">
      <c r="A3" t="s">
        <v>20</v>
      </c>
      <c r="B3" t="s">
        <v>29</v>
      </c>
      <c r="C3" t="s">
        <v>767</v>
      </c>
      <c r="E3" t="s">
        <v>772</v>
      </c>
      <c r="F3" t="s">
        <v>845</v>
      </c>
      <c r="I3" t="str">
        <f>$F3&amp;"_owner"</f>
        <v>SP_Area_AWP_owner</v>
      </c>
      <c r="J3" t="str">
        <f>$F3&amp;"_approver"</f>
        <v>SP_Area_AWP_approver</v>
      </c>
      <c r="K3" t="str">
        <f>$F3&amp;"_writer"</f>
        <v>SP_Area_AWP_writer</v>
      </c>
      <c r="L3" t="str">
        <f>$F3&amp;"_reader"</f>
        <v>SP_Area_AWP_reader</v>
      </c>
    </row>
    <row r="4" spans="1:12" x14ac:dyDescent="0.35">
      <c r="A4" t="s">
        <v>188</v>
      </c>
      <c r="B4" t="s">
        <v>195</v>
      </c>
      <c r="C4" t="s">
        <v>755</v>
      </c>
      <c r="E4" t="s">
        <v>773</v>
      </c>
      <c r="F4" t="s">
        <v>846</v>
      </c>
      <c r="I4" t="str">
        <f t="shared" ref="I4:I67" si="0">$F4&amp;"_owner"</f>
        <v>SP_Area_AWP_Dirette_owner</v>
      </c>
      <c r="J4" t="str">
        <f t="shared" ref="J4:J67" si="1">$F4&amp;"_approver"</f>
        <v>SP_Area_AWP_Dirette_approver</v>
      </c>
      <c r="K4" t="str">
        <f t="shared" ref="K4:K67" si="2">$F4&amp;"_writer"</f>
        <v>SP_Area_AWP_Dirette_writer</v>
      </c>
      <c r="L4" t="str">
        <f t="shared" ref="L4:L67" si="3">$F4&amp;"_reader"</f>
        <v>SP_Area_AWP_Dirette_reader</v>
      </c>
    </row>
    <row r="5" spans="1:12" x14ac:dyDescent="0.35">
      <c r="A5" t="s">
        <v>43</v>
      </c>
      <c r="B5" t="s">
        <v>49</v>
      </c>
      <c r="C5" t="s">
        <v>768</v>
      </c>
      <c r="E5" t="s">
        <v>774</v>
      </c>
      <c r="F5" t="s">
        <v>847</v>
      </c>
      <c r="I5" t="str">
        <f t="shared" si="0"/>
        <v>SP_Area_Acquisition_owner</v>
      </c>
      <c r="J5" t="str">
        <f t="shared" si="1"/>
        <v>SP_Area_Acquisition_approver</v>
      </c>
      <c r="K5" t="str">
        <f t="shared" si="2"/>
        <v>SP_Area_Acquisition_writer</v>
      </c>
      <c r="L5" t="str">
        <f t="shared" si="3"/>
        <v>SP_Area_Acquisition_reader</v>
      </c>
    </row>
    <row r="6" spans="1:12" x14ac:dyDescent="0.35">
      <c r="A6" t="s">
        <v>170</v>
      </c>
      <c r="B6" t="s">
        <v>176</v>
      </c>
      <c r="C6" t="s">
        <v>769</v>
      </c>
      <c r="E6" t="s">
        <v>775</v>
      </c>
      <c r="F6" t="s">
        <v>848</v>
      </c>
      <c r="I6" t="str">
        <f t="shared" si="0"/>
        <v>SP_Area_Acquisti_owner</v>
      </c>
      <c r="J6" t="str">
        <f t="shared" si="1"/>
        <v>SP_Area_Acquisti_approver</v>
      </c>
      <c r="K6" t="str">
        <f t="shared" si="2"/>
        <v>SP_Area_Acquisti_writer</v>
      </c>
      <c r="L6" t="str">
        <f t="shared" si="3"/>
        <v>SP_Area_Acquisti_reader</v>
      </c>
    </row>
    <row r="7" spans="1:12" x14ac:dyDescent="0.35">
      <c r="A7" t="s">
        <v>82</v>
      </c>
      <c r="B7" t="s">
        <v>89</v>
      </c>
      <c r="C7" t="s">
        <v>770</v>
      </c>
      <c r="E7" t="s">
        <v>776</v>
      </c>
      <c r="F7" t="s">
        <v>849</v>
      </c>
      <c r="I7" t="str">
        <f t="shared" si="0"/>
        <v>SP_Area_Acquisti_Business_Staff_owner</v>
      </c>
      <c r="J7" t="str">
        <f t="shared" si="1"/>
        <v>SP_Area_Acquisti_Business_Staff_approver</v>
      </c>
      <c r="K7" t="str">
        <f t="shared" si="2"/>
        <v>SP_Area_Acquisti_Business_Staff_writer</v>
      </c>
      <c r="L7" t="str">
        <f t="shared" si="3"/>
        <v>SP_Area_Acquisti_Business_Staff_reader</v>
      </c>
    </row>
    <row r="8" spans="1:12" x14ac:dyDescent="0.35">
      <c r="A8" t="s">
        <v>101</v>
      </c>
      <c r="B8" t="s">
        <v>108</v>
      </c>
      <c r="C8" t="s">
        <v>756</v>
      </c>
      <c r="E8" t="s">
        <v>777</v>
      </c>
      <c r="F8" t="s">
        <v>850</v>
      </c>
      <c r="I8" t="str">
        <f t="shared" si="0"/>
        <v>SP_Area_Acquisti_Real_Estate_owner</v>
      </c>
      <c r="J8" t="str">
        <f t="shared" si="1"/>
        <v>SP_Area_Acquisti_Real_Estate_approver</v>
      </c>
      <c r="K8" t="str">
        <f t="shared" si="2"/>
        <v>SP_Area_Acquisti_Real_Estate_writer</v>
      </c>
      <c r="L8" t="str">
        <f t="shared" si="3"/>
        <v>SP_Area_Acquisti_Real_Estate_reader</v>
      </c>
    </row>
    <row r="9" spans="1:12" x14ac:dyDescent="0.35">
      <c r="A9" t="s">
        <v>72</v>
      </c>
      <c r="B9" t="s">
        <v>78</v>
      </c>
      <c r="C9" t="s">
        <v>757</v>
      </c>
      <c r="E9" t="s">
        <v>778</v>
      </c>
      <c r="F9" t="s">
        <v>851</v>
      </c>
      <c r="I9" t="str">
        <f t="shared" si="0"/>
        <v>SP_Area_Affari_Generali_Segreteria_e_Travel_owner</v>
      </c>
      <c r="J9" t="str">
        <f t="shared" si="1"/>
        <v>SP_Area_Affari_Generali_Segreteria_e_Travel_approver</v>
      </c>
      <c r="K9" t="str">
        <f t="shared" si="2"/>
        <v>SP_Area_Affari_Generali_Segreteria_e_Travel_writer</v>
      </c>
      <c r="L9" t="str">
        <f t="shared" si="3"/>
        <v>SP_Area_Affari_Generali_Segreteria_e_Travel_reader</v>
      </c>
    </row>
    <row r="10" spans="1:12" x14ac:dyDescent="0.35">
      <c r="A10" t="s">
        <v>137</v>
      </c>
      <c r="B10" t="s">
        <v>144</v>
      </c>
      <c r="C10" t="s">
        <v>758</v>
      </c>
      <c r="E10" t="s">
        <v>779</v>
      </c>
      <c r="F10" t="s">
        <v>852</v>
      </c>
      <c r="I10" t="str">
        <f t="shared" si="0"/>
        <v>SP_Area_Affari_Legali_e_Societari_owner</v>
      </c>
      <c r="J10" t="str">
        <f t="shared" si="1"/>
        <v>SP_Area_Affari_Legali_e_Societari_approver</v>
      </c>
      <c r="K10" t="str">
        <f t="shared" si="2"/>
        <v>SP_Area_Affari_Legali_e_Societari_writer</v>
      </c>
      <c r="L10" t="str">
        <f t="shared" si="3"/>
        <v>SP_Area_Affari_Legali_e_Societari_reader</v>
      </c>
    </row>
    <row r="11" spans="1:12" x14ac:dyDescent="0.35">
      <c r="A11" t="s">
        <v>556</v>
      </c>
      <c r="B11" t="s">
        <v>562</v>
      </c>
      <c r="C11" t="s">
        <v>759</v>
      </c>
      <c r="E11" t="s">
        <v>780</v>
      </c>
      <c r="F11" t="s">
        <v>853</v>
      </c>
      <c r="I11" t="str">
        <f t="shared" si="0"/>
        <v>SP_Area_Affari_Societari_owner</v>
      </c>
      <c r="J11" t="str">
        <f t="shared" si="1"/>
        <v>SP_Area_Affari_Societari_approver</v>
      </c>
      <c r="K11" t="str">
        <f t="shared" si="2"/>
        <v>SP_Area_Affari_Societari_writer</v>
      </c>
      <c r="L11" t="str">
        <f t="shared" si="3"/>
        <v>SP_Area_Affari_Societari_reader</v>
      </c>
    </row>
    <row r="12" spans="1:12" x14ac:dyDescent="0.35">
      <c r="A12" t="s">
        <v>208</v>
      </c>
      <c r="B12" t="s">
        <v>215</v>
      </c>
      <c r="C12" t="s">
        <v>760</v>
      </c>
      <c r="E12" t="s">
        <v>781</v>
      </c>
      <c r="F12" t="s">
        <v>854</v>
      </c>
      <c r="I12" t="str">
        <f t="shared" si="0"/>
        <v>SP_Area_After_Market_Betting_owner</v>
      </c>
      <c r="J12" t="str">
        <f t="shared" si="1"/>
        <v>SP_Area_After_Market_Betting_approver</v>
      </c>
      <c r="K12" t="str">
        <f t="shared" si="2"/>
        <v>SP_Area_After_Market_Betting_writer</v>
      </c>
      <c r="L12" t="str">
        <f t="shared" si="3"/>
        <v>SP_Area_After_Market_Betting_reader</v>
      </c>
    </row>
    <row r="13" spans="1:12" x14ac:dyDescent="0.35">
      <c r="A13" t="s">
        <v>63</v>
      </c>
      <c r="B13" t="s">
        <v>925</v>
      </c>
      <c r="C13" t="s">
        <v>761</v>
      </c>
      <c r="E13" t="s">
        <v>782</v>
      </c>
      <c r="F13" t="s">
        <v>855</v>
      </c>
      <c r="I13" t="str">
        <f t="shared" si="0"/>
        <v>SP_Area_Amministrazione_e_Gestione_del_Personale_owner</v>
      </c>
      <c r="J13" t="str">
        <f t="shared" si="1"/>
        <v>SP_Area_Amministrazione_e_Gestione_del_Personale_approver</v>
      </c>
      <c r="K13" t="str">
        <f t="shared" si="2"/>
        <v>SP_Area_Amministrazione_e_Gestione_del_Personale_writer</v>
      </c>
      <c r="L13" t="str">
        <f t="shared" si="3"/>
        <v>SP_Area_Amministrazione_e_Gestione_del_Personale_reader</v>
      </c>
    </row>
    <row r="14" spans="1:12" x14ac:dyDescent="0.35">
      <c r="A14" t="s">
        <v>52</v>
      </c>
      <c r="B14" t="s">
        <v>60</v>
      </c>
      <c r="C14" t="s">
        <v>762</v>
      </c>
      <c r="E14" t="s">
        <v>783</v>
      </c>
      <c r="F14" t="s">
        <v>856</v>
      </c>
      <c r="I14" t="str">
        <f t="shared" si="0"/>
        <v>SP_Area_Amministrazione_Bilancio_e_Crediti_owner</v>
      </c>
      <c r="J14" t="str">
        <f t="shared" si="1"/>
        <v>SP_Area_Amministrazione_Bilancio_e_Crediti_approver</v>
      </c>
      <c r="K14" t="str">
        <f t="shared" si="2"/>
        <v>SP_Area_Amministrazione_Bilancio_e_Crediti_writer</v>
      </c>
      <c r="L14" t="str">
        <f t="shared" si="3"/>
        <v>SP_Area_Amministrazione_Bilancio_e_Crediti_reader</v>
      </c>
    </row>
    <row r="15" spans="1:12" x14ac:dyDescent="0.35">
      <c r="A15" t="s">
        <v>348</v>
      </c>
      <c r="B15" t="s">
        <v>926</v>
      </c>
      <c r="C15" t="s">
        <v>763</v>
      </c>
      <c r="E15" t="s">
        <v>784</v>
      </c>
      <c r="F15" t="s">
        <v>857</v>
      </c>
      <c r="I15" t="str">
        <f t="shared" si="0"/>
        <v>SP_Area_Amministrazione_Finanza_e_Controllo_owner</v>
      </c>
      <c r="J15" t="str">
        <f t="shared" si="1"/>
        <v>SP_Area_Amministrazione_Finanza_e_Controllo_approver</v>
      </c>
      <c r="K15" t="str">
        <f t="shared" si="2"/>
        <v>SP_Area_Amministrazione_Finanza_e_Controllo_writer</v>
      </c>
      <c r="L15" t="str">
        <f t="shared" si="3"/>
        <v>SP_Area_Amministrazione_Finanza_e_Controllo_reader</v>
      </c>
    </row>
    <row r="16" spans="1:12" x14ac:dyDescent="0.35">
      <c r="A16" t="s">
        <v>478</v>
      </c>
      <c r="B16" t="s">
        <v>483</v>
      </c>
      <c r="C16" t="s">
        <v>764</v>
      </c>
      <c r="E16" t="s">
        <v>785</v>
      </c>
      <c r="F16" t="s">
        <v>858</v>
      </c>
      <c r="I16" t="str">
        <f t="shared" si="0"/>
        <v>SP_Area_Antiriciclaggio_owner</v>
      </c>
      <c r="J16" t="str">
        <f t="shared" si="1"/>
        <v>SP_Area_Antiriciclaggio_approver</v>
      </c>
      <c r="K16" t="str">
        <f t="shared" si="2"/>
        <v>SP_Area_Antiriciclaggio_writer</v>
      </c>
      <c r="L16" t="str">
        <f t="shared" si="3"/>
        <v>SP_Area_Antiriciclaggio_reader</v>
      </c>
    </row>
    <row r="17" spans="1:12" x14ac:dyDescent="0.35">
      <c r="A17" t="s">
        <v>718</v>
      </c>
      <c r="B17" t="s">
        <v>723</v>
      </c>
      <c r="C17" t="s">
        <v>765</v>
      </c>
      <c r="E17" t="s">
        <v>786</v>
      </c>
      <c r="F17" t="s">
        <v>859</v>
      </c>
      <c r="I17" t="str">
        <f t="shared" si="0"/>
        <v>SP_Area_Betting_Retail_owner</v>
      </c>
      <c r="J17" t="str">
        <f t="shared" si="1"/>
        <v>SP_Area_Betting_Retail_approver</v>
      </c>
      <c r="K17" t="str">
        <f t="shared" si="2"/>
        <v>SP_Area_Betting_Retail_writer</v>
      </c>
      <c r="L17" t="str">
        <f t="shared" si="3"/>
        <v>SP_Area_Betting_Retail_reader</v>
      </c>
    </row>
    <row r="18" spans="1:12" x14ac:dyDescent="0.35">
      <c r="A18" t="s">
        <v>630</v>
      </c>
      <c r="B18" t="s">
        <v>635</v>
      </c>
      <c r="C18" t="s">
        <v>766</v>
      </c>
      <c r="E18" t="s">
        <v>787</v>
      </c>
      <c r="F18" t="s">
        <v>860</v>
      </c>
      <c r="I18" t="str">
        <f t="shared" si="0"/>
        <v>SP_Area_Betting_Retail_Customer_Operations_owner</v>
      </c>
      <c r="J18" t="str">
        <f t="shared" si="1"/>
        <v>SP_Area_Betting_Retail_Customer_Operations_approver</v>
      </c>
      <c r="K18" t="str">
        <f t="shared" si="2"/>
        <v>SP_Area_Betting_Retail_Customer_Operations_writer</v>
      </c>
      <c r="L18" t="str">
        <f t="shared" si="3"/>
        <v>SP_Area_Betting_Retail_Customer_Operations_reader</v>
      </c>
    </row>
    <row r="19" spans="1:12" x14ac:dyDescent="0.35">
      <c r="E19" t="s">
        <v>788</v>
      </c>
      <c r="F19" t="s">
        <v>861</v>
      </c>
      <c r="I19" t="str">
        <f t="shared" si="0"/>
        <v>SP_Area_Bilancio_Adempimenti_Fiscali_e_Fatturazione_owner</v>
      </c>
      <c r="J19" t="str">
        <f t="shared" si="1"/>
        <v>SP_Area_Bilancio_Adempimenti_Fiscali_e_Fatturazione_approver</v>
      </c>
      <c r="K19" t="str">
        <f t="shared" si="2"/>
        <v>SP_Area_Bilancio_Adempimenti_Fiscali_e_Fatturazione_writer</v>
      </c>
      <c r="L19" t="str">
        <f t="shared" si="3"/>
        <v>SP_Area_Bilancio_Adempimenti_Fiscali_e_Fatturazione_reader</v>
      </c>
    </row>
    <row r="20" spans="1:12" x14ac:dyDescent="0.35">
      <c r="E20" t="s">
        <v>789</v>
      </c>
      <c r="F20" t="s">
        <v>862</v>
      </c>
      <c r="I20" t="str">
        <f t="shared" si="0"/>
        <v>SP_Area_Budget_Controllo_e_Reporting_owner</v>
      </c>
      <c r="J20" t="str">
        <f t="shared" si="1"/>
        <v>SP_Area_Budget_Controllo_e_Reporting_approver</v>
      </c>
      <c r="K20" t="str">
        <f t="shared" si="2"/>
        <v>SP_Area_Budget_Controllo_e_Reporting_writer</v>
      </c>
      <c r="L20" t="str">
        <f t="shared" si="3"/>
        <v>SP_Area_Budget_Controllo_e_Reporting_reader</v>
      </c>
    </row>
    <row r="21" spans="1:12" x14ac:dyDescent="0.35">
      <c r="E21" t="s">
        <v>790</v>
      </c>
      <c r="F21" t="s">
        <v>863</v>
      </c>
      <c r="I21" t="str">
        <f t="shared" si="0"/>
        <v>SP_Area_Business_Development_Communications_owner</v>
      </c>
      <c r="J21" t="str">
        <f t="shared" si="1"/>
        <v>SP_Area_Business_Development_Communications_approver</v>
      </c>
      <c r="K21" t="str">
        <f t="shared" si="2"/>
        <v>SP_Area_Business_Development_Communications_writer</v>
      </c>
      <c r="L21" t="str">
        <f t="shared" si="3"/>
        <v>SP_Area_Business_Development_Communications_reader</v>
      </c>
    </row>
    <row r="22" spans="1:12" x14ac:dyDescent="0.35">
      <c r="E22" t="s">
        <v>791</v>
      </c>
      <c r="F22" t="s">
        <v>864</v>
      </c>
      <c r="I22" t="str">
        <f t="shared" si="0"/>
        <v>SP_Area_Business_Planning_owner</v>
      </c>
      <c r="J22" t="str">
        <f t="shared" si="1"/>
        <v>SP_Area_Business_Planning_approver</v>
      </c>
      <c r="K22" t="str">
        <f t="shared" si="2"/>
        <v>SP_Area_Business_Planning_writer</v>
      </c>
      <c r="L22" t="str">
        <f t="shared" si="3"/>
        <v>SP_Area_Business_Planning_reader</v>
      </c>
    </row>
    <row r="23" spans="1:12" x14ac:dyDescent="0.35">
      <c r="E23" t="s">
        <v>792</v>
      </c>
      <c r="F23" t="s">
        <v>865</v>
      </c>
      <c r="I23" t="str">
        <f t="shared" si="0"/>
        <v>SP_Area_Commerciale_owner</v>
      </c>
      <c r="J23" t="str">
        <f t="shared" si="1"/>
        <v>SP_Area_Commerciale_approver</v>
      </c>
      <c r="K23" t="str">
        <f t="shared" si="2"/>
        <v>SP_Area_Commerciale_writer</v>
      </c>
      <c r="L23" t="str">
        <f t="shared" si="3"/>
        <v>SP_Area_Commerciale_reader</v>
      </c>
    </row>
    <row r="24" spans="1:12" x14ac:dyDescent="0.35">
      <c r="E24" t="s">
        <v>793</v>
      </c>
      <c r="F24" t="s">
        <v>866</v>
      </c>
      <c r="I24" t="str">
        <f t="shared" si="0"/>
        <v>SP_Area_Communications_owner</v>
      </c>
      <c r="J24" t="str">
        <f t="shared" si="1"/>
        <v>SP_Area_Communications_approver</v>
      </c>
      <c r="K24" t="str">
        <f t="shared" si="2"/>
        <v>SP_Area_Communications_writer</v>
      </c>
      <c r="L24" t="str">
        <f t="shared" si="3"/>
        <v>SP_Area_Communications_reader</v>
      </c>
    </row>
    <row r="25" spans="1:12" x14ac:dyDescent="0.35">
      <c r="E25" t="s">
        <v>794</v>
      </c>
      <c r="F25" t="s">
        <v>867</v>
      </c>
      <c r="I25" t="str">
        <f t="shared" si="0"/>
        <v>SP_Area_Compliance_e_Adempimenti_Concessori_e_Normati_owner</v>
      </c>
      <c r="J25" t="str">
        <f t="shared" si="1"/>
        <v>SP_Area_Compliance_e_Adempimenti_Concessori_e_Normati_approver</v>
      </c>
      <c r="K25" t="str">
        <f t="shared" si="2"/>
        <v>SP_Area_Compliance_e_Adempimenti_Concessori_e_Normati_writer</v>
      </c>
      <c r="L25" t="str">
        <f t="shared" si="3"/>
        <v>SP_Area_Compliance_e_Adempimenti_Concessori_e_Normati_reader</v>
      </c>
    </row>
    <row r="26" spans="1:12" x14ac:dyDescent="0.35">
      <c r="E26" t="s">
        <v>795</v>
      </c>
      <c r="F26" t="s">
        <v>868</v>
      </c>
      <c r="I26" t="str">
        <f t="shared" si="0"/>
        <v>SP_Area_Conduzione_owner</v>
      </c>
      <c r="J26" t="str">
        <f t="shared" si="1"/>
        <v>SP_Area_Conduzione_approver</v>
      </c>
      <c r="K26" t="str">
        <f t="shared" si="2"/>
        <v>SP_Area_Conduzione_writer</v>
      </c>
      <c r="L26" t="str">
        <f t="shared" si="3"/>
        <v>SP_Area_Conduzione_reader</v>
      </c>
    </row>
    <row r="27" spans="1:12" x14ac:dyDescent="0.35">
      <c r="E27" t="s">
        <v>796</v>
      </c>
      <c r="F27" t="s">
        <v>869</v>
      </c>
      <c r="I27" t="str">
        <f t="shared" si="0"/>
        <v>SP_Area_Conduzione_AWP_owner</v>
      </c>
      <c r="J27" t="str">
        <f t="shared" si="1"/>
        <v>SP_Area_Conduzione_AWP_approver</v>
      </c>
      <c r="K27" t="str">
        <f t="shared" si="2"/>
        <v>SP_Area_Conduzione_AWP_writer</v>
      </c>
      <c r="L27" t="str">
        <f t="shared" si="3"/>
        <v>SP_Area_Conduzione_AWP_reader</v>
      </c>
    </row>
    <row r="28" spans="1:12" x14ac:dyDescent="0.35">
      <c r="E28" t="s">
        <v>797</v>
      </c>
      <c r="F28" t="s">
        <v>870</v>
      </c>
      <c r="I28" t="str">
        <f t="shared" si="0"/>
        <v>SP_Area_Conduzione_AWP_Reparto_Back_Office_AWP_owner</v>
      </c>
      <c r="J28" t="str">
        <f t="shared" si="1"/>
        <v>SP_Area_Conduzione_AWP_Reparto_Back_Office_AWP_approver</v>
      </c>
      <c r="K28" t="str">
        <f t="shared" si="2"/>
        <v>SP_Area_Conduzione_AWP_Reparto_Back_Office_AWP_writer</v>
      </c>
      <c r="L28" t="str">
        <f t="shared" si="3"/>
        <v>SP_Area_Conduzione_AWP_Reparto_Back_Office_AWP_reader</v>
      </c>
    </row>
    <row r="29" spans="1:12" x14ac:dyDescent="0.35">
      <c r="E29" t="s">
        <v>798</v>
      </c>
      <c r="F29" t="s">
        <v>871</v>
      </c>
      <c r="I29" t="str">
        <f t="shared" si="0"/>
        <v>SP_Area_Conduzione_Operativa_e_Facility_Ippodromi_owner</v>
      </c>
      <c r="J29" t="str">
        <f t="shared" si="1"/>
        <v>SP_Area_Conduzione_Operativa_e_Facility_Ippodromi_approver</v>
      </c>
      <c r="K29" t="str">
        <f t="shared" si="2"/>
        <v>SP_Area_Conduzione_Operativa_e_Facility_Ippodromi_writer</v>
      </c>
      <c r="L29" t="str">
        <f t="shared" si="3"/>
        <v>SP_Area_Conduzione_Operativa_e_Facility_Ippodromi_reader</v>
      </c>
    </row>
    <row r="30" spans="1:12" x14ac:dyDescent="0.35">
      <c r="E30" t="s">
        <v>799</v>
      </c>
      <c r="F30" t="s">
        <v>872</v>
      </c>
      <c r="I30" t="str">
        <f t="shared" si="0"/>
        <v>SP_Area_Conduzione_VLT_owner</v>
      </c>
      <c r="J30" t="str">
        <f t="shared" si="1"/>
        <v>SP_Area_Conduzione_VLT_approver</v>
      </c>
      <c r="K30" t="str">
        <f t="shared" si="2"/>
        <v>SP_Area_Conduzione_VLT_writer</v>
      </c>
      <c r="L30" t="str">
        <f t="shared" si="3"/>
        <v>SP_Area_Conduzione_VLT_reader</v>
      </c>
    </row>
    <row r="31" spans="1:12" x14ac:dyDescent="0.35">
      <c r="E31" t="s">
        <v>800</v>
      </c>
      <c r="F31" t="s">
        <v>873</v>
      </c>
      <c r="I31" t="str">
        <f t="shared" si="0"/>
        <v>SP_Area_Conduzione_VLT_Reparto_After_Market_VLT_owner</v>
      </c>
      <c r="J31" t="str">
        <f t="shared" si="1"/>
        <v>SP_Area_Conduzione_VLT_Reparto_After_Market_VLT_approver</v>
      </c>
      <c r="K31" t="str">
        <f t="shared" si="2"/>
        <v>SP_Area_Conduzione_VLT_Reparto_After_Market_VLT_writer</v>
      </c>
      <c r="L31" t="str">
        <f t="shared" si="3"/>
        <v>SP_Area_Conduzione_VLT_Reparto_After_Market_VLT_reader</v>
      </c>
    </row>
    <row r="32" spans="1:12" x14ac:dyDescent="0.35">
      <c r="E32" t="s">
        <v>801</v>
      </c>
      <c r="F32" t="s">
        <v>874</v>
      </c>
      <c r="I32" t="str">
        <f t="shared" si="0"/>
        <v>SP_Area_Conduzione_VLT_Reparto_Back_Office_VLT_owner</v>
      </c>
      <c r="J32" t="str">
        <f t="shared" si="1"/>
        <v>SP_Area_Conduzione_VLT_Reparto_Back_Office_VLT_approver</v>
      </c>
      <c r="K32" t="str">
        <f t="shared" si="2"/>
        <v>SP_Area_Conduzione_VLT_Reparto_Back_Office_VLT_writer</v>
      </c>
      <c r="L32" t="str">
        <f t="shared" si="3"/>
        <v>SP_Area_Conduzione_VLT_Reparto_Back_Office_VLT_reader</v>
      </c>
    </row>
    <row r="33" spans="5:12" x14ac:dyDescent="0.35">
      <c r="E33" t="s">
        <v>802</v>
      </c>
      <c r="F33" t="s">
        <v>875</v>
      </c>
      <c r="I33" t="str">
        <f t="shared" si="0"/>
        <v>SP_Area_Contrattualistica_owner</v>
      </c>
      <c r="J33" t="str">
        <f t="shared" si="1"/>
        <v>SP_Area_Contrattualistica_approver</v>
      </c>
      <c r="K33" t="str">
        <f t="shared" si="2"/>
        <v>SP_Area_Contrattualistica_writer</v>
      </c>
      <c r="L33" t="str">
        <f t="shared" si="3"/>
        <v>SP_Area_Contrattualistica_reader</v>
      </c>
    </row>
    <row r="34" spans="5:12" x14ac:dyDescent="0.35">
      <c r="E34" t="s">
        <v>803</v>
      </c>
      <c r="F34" t="s">
        <v>876</v>
      </c>
      <c r="I34" t="str">
        <f t="shared" si="0"/>
        <v>SP_Area_Corse_Ippodromi_e_Impianti_Ippici_owner</v>
      </c>
      <c r="J34" t="str">
        <f t="shared" si="1"/>
        <v>SP_Area_Corse_Ippodromi_e_Impianti_Ippici_approver</v>
      </c>
      <c r="K34" t="str">
        <f t="shared" si="2"/>
        <v>SP_Area_Corse_Ippodromi_e_Impianti_Ippici_writer</v>
      </c>
      <c r="L34" t="str">
        <f t="shared" si="3"/>
        <v>SP_Area_Corse_Ippodromi_e_Impianti_Ippici_reader</v>
      </c>
    </row>
    <row r="35" spans="5:12" x14ac:dyDescent="0.35">
      <c r="E35" t="s">
        <v>804</v>
      </c>
      <c r="F35" t="s">
        <v>877</v>
      </c>
      <c r="I35" t="str">
        <f t="shared" si="0"/>
        <v>SP_Area_Customer_Operations_Logistics_Field_Servic_owner</v>
      </c>
      <c r="J35" t="str">
        <f t="shared" si="1"/>
        <v>SP_Area_Customer_Operations_Logistics_Field_Servic_approver</v>
      </c>
      <c r="K35" t="str">
        <f t="shared" si="2"/>
        <v>SP_Area_Customer_Operations_Logistics_Field_Servic_writer</v>
      </c>
      <c r="L35" t="str">
        <f t="shared" si="3"/>
        <v>SP_Area_Customer_Operations_Logistics_Field_Servic_reader</v>
      </c>
    </row>
    <row r="36" spans="5:12" x14ac:dyDescent="0.35">
      <c r="E36" t="s">
        <v>805</v>
      </c>
      <c r="F36" t="s">
        <v>878</v>
      </c>
      <c r="I36" t="str">
        <f t="shared" si="0"/>
        <v>SP_Area_Digital_Transformation_owner</v>
      </c>
      <c r="J36" t="str">
        <f t="shared" si="1"/>
        <v>SP_Area_Digital_Transformation_approver</v>
      </c>
      <c r="K36" t="str">
        <f t="shared" si="2"/>
        <v>SP_Area_Digital_Transformation_writer</v>
      </c>
      <c r="L36" t="str">
        <f t="shared" si="3"/>
        <v>SP_Area_Digital_Transformation_reader</v>
      </c>
    </row>
    <row r="37" spans="5:12" x14ac:dyDescent="0.35">
      <c r="E37" t="s">
        <v>806</v>
      </c>
      <c r="F37" t="s">
        <v>879</v>
      </c>
      <c r="I37" t="str">
        <f t="shared" si="0"/>
        <v>SP_Area_District_Management_DM_Nord_Ovest_owner</v>
      </c>
      <c r="J37" t="str">
        <f t="shared" si="1"/>
        <v>SP_Area_District_Management_DM_Nord_Ovest_approver</v>
      </c>
      <c r="K37" t="str">
        <f t="shared" si="2"/>
        <v>SP_Area_District_Management_DM_Nord_Ovest_writer</v>
      </c>
      <c r="L37" t="str">
        <f t="shared" si="3"/>
        <v>SP_Area_District_Management_DM_Nord_Ovest_reader</v>
      </c>
    </row>
    <row r="38" spans="5:12" x14ac:dyDescent="0.35">
      <c r="E38" t="s">
        <v>807</v>
      </c>
      <c r="F38" t="s">
        <v>880</v>
      </c>
      <c r="I38" t="str">
        <f t="shared" si="0"/>
        <v>SP_Area_District_Management_DM_Sud_owner</v>
      </c>
      <c r="J38" t="str">
        <f t="shared" si="1"/>
        <v>SP_Area_District_Management_DM_Sud_approver</v>
      </c>
      <c r="K38" t="str">
        <f t="shared" si="2"/>
        <v>SP_Area_District_Management_DM_Sud_writer</v>
      </c>
      <c r="L38" t="str">
        <f t="shared" si="3"/>
        <v>SP_Area_District_Management_DM_Sud_reader</v>
      </c>
    </row>
    <row r="39" spans="5:12" x14ac:dyDescent="0.35">
      <c r="E39" t="s">
        <v>808</v>
      </c>
      <c r="F39" t="s">
        <v>881</v>
      </c>
      <c r="I39" t="str">
        <f t="shared" si="0"/>
        <v>SP_Area_Fatturazione_Attiva_Betting_owner</v>
      </c>
      <c r="J39" t="str">
        <f t="shared" si="1"/>
        <v>SP_Area_Fatturazione_Attiva_Betting_approver</v>
      </c>
      <c r="K39" t="str">
        <f t="shared" si="2"/>
        <v>SP_Area_Fatturazione_Attiva_Betting_writer</v>
      </c>
      <c r="L39" t="str">
        <f t="shared" si="3"/>
        <v>SP_Area_Fatturazione_Attiva_Betting_reader</v>
      </c>
    </row>
    <row r="40" spans="5:12" x14ac:dyDescent="0.35">
      <c r="E40" t="s">
        <v>809</v>
      </c>
      <c r="F40" t="s">
        <v>882</v>
      </c>
      <c r="I40" t="str">
        <f t="shared" si="0"/>
        <v>SP_Area_Fatturazione_Attiva_Gaming_Machine_owner</v>
      </c>
      <c r="J40" t="str">
        <f t="shared" si="1"/>
        <v>SP_Area_Fatturazione_Attiva_Gaming_Machine_approver</v>
      </c>
      <c r="K40" t="str">
        <f t="shared" si="2"/>
        <v>SP_Area_Fatturazione_Attiva_Gaming_Machine_writer</v>
      </c>
      <c r="L40" t="str">
        <f t="shared" si="3"/>
        <v>SP_Area_Fatturazione_Attiva_Gaming_Machine_reader</v>
      </c>
    </row>
    <row r="41" spans="5:12" x14ac:dyDescent="0.35">
      <c r="E41" t="s">
        <v>810</v>
      </c>
      <c r="F41" t="s">
        <v>883</v>
      </c>
      <c r="I41" t="str">
        <f t="shared" si="0"/>
        <v>SP_Area_Fraud_Payments_owner</v>
      </c>
      <c r="J41" t="str">
        <f t="shared" si="1"/>
        <v>SP_Area_Fraud_Payments_approver</v>
      </c>
      <c r="K41" t="str">
        <f t="shared" si="2"/>
        <v>SP_Area_Fraud_Payments_writer</v>
      </c>
      <c r="L41" t="str">
        <f t="shared" si="3"/>
        <v>SP_Area_Fraud_Payments_reader</v>
      </c>
    </row>
    <row r="42" spans="5:12" x14ac:dyDescent="0.35">
      <c r="E42" t="s">
        <v>811</v>
      </c>
      <c r="F42" t="s">
        <v>884</v>
      </c>
      <c r="I42" t="str">
        <f t="shared" si="0"/>
        <v>SP_Area_Gaming_Machine_owner</v>
      </c>
      <c r="J42" t="str">
        <f t="shared" si="1"/>
        <v>SP_Area_Gaming_Machine_approver</v>
      </c>
      <c r="K42" t="str">
        <f t="shared" si="2"/>
        <v>SP_Area_Gaming_Machine_writer</v>
      </c>
      <c r="L42" t="str">
        <f t="shared" si="3"/>
        <v>SP_Area_Gaming_Machine_reader</v>
      </c>
    </row>
    <row r="43" spans="5:12" x14ac:dyDescent="0.35">
      <c r="E43" t="s">
        <v>812</v>
      </c>
      <c r="F43" t="s">
        <v>885</v>
      </c>
      <c r="I43" t="str">
        <f t="shared" si="0"/>
        <v>SP_Area_Gestione_Credito_e_Valutazione_Rischio_Client_owner</v>
      </c>
      <c r="J43" t="str">
        <f t="shared" si="1"/>
        <v>SP_Area_Gestione_Credito_e_Valutazione_Rischio_Client_approver</v>
      </c>
      <c r="K43" t="str">
        <f t="shared" si="2"/>
        <v>SP_Area_Gestione_Credito_e_Valutazione_Rischio_Client_writer</v>
      </c>
      <c r="L43" t="str">
        <f t="shared" si="3"/>
        <v>SP_Area_Gestione_Credito_e_Valutazione_Rischio_Client_reader</v>
      </c>
    </row>
    <row r="44" spans="5:12" x14ac:dyDescent="0.35">
      <c r="E44" t="s">
        <v>813</v>
      </c>
      <c r="F44" t="s">
        <v>886</v>
      </c>
      <c r="I44" t="str">
        <f t="shared" si="0"/>
        <v>SP_Area_Grafica_e_Web_Design_owner</v>
      </c>
      <c r="J44" t="str">
        <f t="shared" si="1"/>
        <v>SP_Area_Grafica_e_Web_Design_approver</v>
      </c>
      <c r="K44" t="str">
        <f t="shared" si="2"/>
        <v>SP_Area_Grafica_e_Web_Design_writer</v>
      </c>
      <c r="L44" t="str">
        <f t="shared" si="3"/>
        <v>SP_Area_Grafica_e_Web_Design_reader</v>
      </c>
    </row>
    <row r="45" spans="5:12" x14ac:dyDescent="0.35">
      <c r="E45" t="s">
        <v>814</v>
      </c>
      <c r="F45" t="s">
        <v>887</v>
      </c>
      <c r="I45" t="str">
        <f t="shared" si="0"/>
        <v>SP_Area_ICT_owner</v>
      </c>
      <c r="J45" t="str">
        <f t="shared" si="1"/>
        <v>SP_Area_ICT_approver</v>
      </c>
      <c r="K45" t="str">
        <f t="shared" si="2"/>
        <v>SP_Area_ICT_writer</v>
      </c>
      <c r="L45" t="str">
        <f t="shared" si="3"/>
        <v>SP_Area_ICT_reader</v>
      </c>
    </row>
    <row r="46" spans="5:12" x14ac:dyDescent="0.35">
      <c r="E46" t="s">
        <v>815</v>
      </c>
      <c r="F46" t="s">
        <v>888</v>
      </c>
      <c r="I46" t="str">
        <f t="shared" si="0"/>
        <v>SP_Area_ICT_Security_Management_owner</v>
      </c>
      <c r="J46" t="str">
        <f t="shared" si="1"/>
        <v>SP_Area_ICT_Security_Management_approver</v>
      </c>
      <c r="K46" t="str">
        <f t="shared" si="2"/>
        <v>SP_Area_ICT_Security_Management_writer</v>
      </c>
      <c r="L46" t="str">
        <f t="shared" si="3"/>
        <v>SP_Area_ICT_Security_Management_reader</v>
      </c>
    </row>
    <row r="47" spans="5:12" x14ac:dyDescent="0.35">
      <c r="E47" t="s">
        <v>816</v>
      </c>
      <c r="F47" t="s">
        <v>889</v>
      </c>
      <c r="I47" t="str">
        <f t="shared" si="0"/>
        <v>SP_Area_Information_Technology_Services_Management_owner</v>
      </c>
      <c r="J47" t="str">
        <f t="shared" si="1"/>
        <v>SP_Area_Information_Technology_Services_Management_approver</v>
      </c>
      <c r="K47" t="str">
        <f t="shared" si="2"/>
        <v>SP_Area_Information_Technology_Services_Management_writer</v>
      </c>
      <c r="L47" t="str">
        <f t="shared" si="3"/>
        <v>SP_Area_Information_Technology_Services_Management_reader</v>
      </c>
    </row>
    <row r="48" spans="5:12" x14ac:dyDescent="0.35">
      <c r="E48" t="s">
        <v>817</v>
      </c>
      <c r="F48" t="s">
        <v>890</v>
      </c>
      <c r="I48" t="str">
        <f t="shared" si="0"/>
        <v>SP_Area_Institutional_Regulatory_Affairs_owner</v>
      </c>
      <c r="J48" t="str">
        <f t="shared" si="1"/>
        <v>SP_Area_Institutional_Regulatory_Affairs_approver</v>
      </c>
      <c r="K48" t="str">
        <f t="shared" si="2"/>
        <v>SP_Area_Institutional_Regulatory_Affairs_writer</v>
      </c>
      <c r="L48" t="str">
        <f t="shared" si="3"/>
        <v>SP_Area_Institutional_Regulatory_Affairs_reader</v>
      </c>
    </row>
    <row r="49" spans="5:12" x14ac:dyDescent="0.35">
      <c r="E49" t="s">
        <v>818</v>
      </c>
      <c r="F49" t="s">
        <v>891</v>
      </c>
      <c r="I49" t="str">
        <f t="shared" si="0"/>
        <v>SP_Area_Internal_Audit_owner</v>
      </c>
      <c r="J49" t="str">
        <f t="shared" si="1"/>
        <v>SP_Area_Internal_Audit_approver</v>
      </c>
      <c r="K49" t="str">
        <f t="shared" si="2"/>
        <v>SP_Area_Internal_Audit_writer</v>
      </c>
      <c r="L49" t="str">
        <f t="shared" si="3"/>
        <v>SP_Area_Internal_Audit_reader</v>
      </c>
    </row>
    <row r="50" spans="5:12" x14ac:dyDescent="0.35">
      <c r="E50" t="s">
        <v>819</v>
      </c>
      <c r="F50" t="s">
        <v>892</v>
      </c>
      <c r="I50" t="str">
        <f t="shared" si="0"/>
        <v>SP_Area_Ippodromi_owner</v>
      </c>
      <c r="J50" t="str">
        <f t="shared" si="1"/>
        <v>SP_Area_Ippodromi_approver</v>
      </c>
      <c r="K50" t="str">
        <f t="shared" si="2"/>
        <v>SP_Area_Ippodromi_writer</v>
      </c>
      <c r="L50" t="str">
        <f t="shared" si="3"/>
        <v>SP_Area_Ippodromi_reader</v>
      </c>
    </row>
    <row r="51" spans="5:12" x14ac:dyDescent="0.35">
      <c r="E51" t="s">
        <v>820</v>
      </c>
      <c r="F51" t="s">
        <v>893</v>
      </c>
      <c r="I51" t="str">
        <f t="shared" si="0"/>
        <v>SP_Area_Logistic_HW_Maintenance_owner</v>
      </c>
      <c r="J51" t="str">
        <f t="shared" si="1"/>
        <v>SP_Area_Logistic_HW_Maintenance_approver</v>
      </c>
      <c r="K51" t="str">
        <f t="shared" si="2"/>
        <v>SP_Area_Logistic_HW_Maintenance_writer</v>
      </c>
      <c r="L51" t="str">
        <f t="shared" si="3"/>
        <v>SP_Area_Logistic_HW_Maintenance_reader</v>
      </c>
    </row>
    <row r="52" spans="5:12" x14ac:dyDescent="0.35">
      <c r="E52" t="s">
        <v>821</v>
      </c>
      <c r="F52" t="s">
        <v>894</v>
      </c>
      <c r="I52" t="str">
        <f t="shared" si="0"/>
        <v>SP_Area_Marketing_owner</v>
      </c>
      <c r="J52" t="str">
        <f t="shared" si="1"/>
        <v>SP_Area_Marketing_approver</v>
      </c>
      <c r="K52" t="str">
        <f t="shared" si="2"/>
        <v>SP_Area_Marketing_writer</v>
      </c>
      <c r="L52" t="str">
        <f t="shared" si="3"/>
        <v>SP_Area_Marketing_reader</v>
      </c>
    </row>
    <row r="53" spans="5:12" x14ac:dyDescent="0.35">
      <c r="E53" t="s">
        <v>822</v>
      </c>
      <c r="F53" t="s">
        <v>895</v>
      </c>
      <c r="I53" t="str">
        <f t="shared" si="0"/>
        <v>SP_Area_Media_e_Market_Research_owner</v>
      </c>
      <c r="J53" t="str">
        <f t="shared" si="1"/>
        <v>SP_Area_Media_e_Market_Research_approver</v>
      </c>
      <c r="K53" t="str">
        <f t="shared" si="2"/>
        <v>SP_Area_Media_e_Market_Research_writer</v>
      </c>
      <c r="L53" t="str">
        <f t="shared" si="3"/>
        <v>SP_Area_Media_e_Market_Research_reader</v>
      </c>
    </row>
    <row r="54" spans="5:12" x14ac:dyDescent="0.35">
      <c r="E54" t="s">
        <v>823</v>
      </c>
      <c r="F54" t="s">
        <v>896</v>
      </c>
      <c r="I54" t="str">
        <f t="shared" si="0"/>
        <v>SP_Area_Milano_Servizi_owner</v>
      </c>
      <c r="J54" t="str">
        <f t="shared" si="1"/>
        <v>SP_Area_Milano_Servizi_approver</v>
      </c>
      <c r="K54" t="str">
        <f t="shared" si="2"/>
        <v>SP_Area_Milano_Servizi_writer</v>
      </c>
      <c r="L54" t="str">
        <f t="shared" si="3"/>
        <v>SP_Area_Milano_Servizi_reader</v>
      </c>
    </row>
    <row r="55" spans="5:12" x14ac:dyDescent="0.35">
      <c r="E55" t="s">
        <v>824</v>
      </c>
      <c r="F55" t="s">
        <v>897</v>
      </c>
      <c r="I55" t="str">
        <f t="shared" si="0"/>
        <v>SP_Area_Montecatini_Servizi_owner</v>
      </c>
      <c r="J55" t="str">
        <f t="shared" si="1"/>
        <v>SP_Area_Montecatini_Servizi_approver</v>
      </c>
      <c r="K55" t="str">
        <f t="shared" si="2"/>
        <v>SP_Area_Montecatini_Servizi_writer</v>
      </c>
      <c r="L55" t="str">
        <f t="shared" si="3"/>
        <v>SP_Area_Montecatini_Servizi_reader</v>
      </c>
    </row>
    <row r="56" spans="5:12" x14ac:dyDescent="0.35">
      <c r="E56" t="s">
        <v>825</v>
      </c>
      <c r="F56" t="s">
        <v>898</v>
      </c>
      <c r="I56" t="str">
        <f t="shared" si="0"/>
        <v>SP_Area_Network_ICT_Security_owner</v>
      </c>
      <c r="J56" t="str">
        <f t="shared" si="1"/>
        <v>SP_Area_Network_ICT_Security_approver</v>
      </c>
      <c r="K56" t="str">
        <f t="shared" si="2"/>
        <v>SP_Area_Network_ICT_Security_writer</v>
      </c>
      <c r="L56" t="str">
        <f t="shared" si="3"/>
        <v>SP_Area_Network_ICT_Security_reader</v>
      </c>
    </row>
    <row r="57" spans="5:12" x14ac:dyDescent="0.35">
      <c r="E57" t="s">
        <v>826</v>
      </c>
      <c r="F57" t="s">
        <v>899</v>
      </c>
      <c r="I57" t="str">
        <f t="shared" si="0"/>
        <v>SP_Area_Offerta_Prodotto_Betting_owner</v>
      </c>
      <c r="J57" t="str">
        <f t="shared" si="1"/>
        <v>SP_Area_Offerta_Prodotto_Betting_approver</v>
      </c>
      <c r="K57" t="str">
        <f t="shared" si="2"/>
        <v>SP_Area_Offerta_Prodotto_Betting_writer</v>
      </c>
      <c r="L57" t="str">
        <f t="shared" si="3"/>
        <v>SP_Area_Offerta_Prodotto_Betting_reader</v>
      </c>
    </row>
    <row r="58" spans="5:12" x14ac:dyDescent="0.35">
      <c r="E58" t="s">
        <v>827</v>
      </c>
      <c r="F58" t="s">
        <v>900</v>
      </c>
      <c r="I58" t="str">
        <f t="shared" si="0"/>
        <v>SP_Area_Online_Brand_Editorial_owner</v>
      </c>
      <c r="J58" t="str">
        <f t="shared" si="1"/>
        <v>SP_Area_Online_Brand_Editorial_approver</v>
      </c>
      <c r="K58" t="str">
        <f t="shared" si="2"/>
        <v>SP_Area_Online_Brand_Editorial_writer</v>
      </c>
      <c r="L58" t="str">
        <f t="shared" si="3"/>
        <v>SP_Area_Online_Brand_Editorial_reader</v>
      </c>
    </row>
    <row r="59" spans="5:12" x14ac:dyDescent="0.35">
      <c r="E59" t="s">
        <v>828</v>
      </c>
      <c r="F59" t="s">
        <v>901</v>
      </c>
      <c r="I59" t="str">
        <f t="shared" si="0"/>
        <v>SP_Area_Organizzazione_owner</v>
      </c>
      <c r="J59" t="str">
        <f t="shared" si="1"/>
        <v>SP_Area_Organizzazione_approver</v>
      </c>
      <c r="K59" t="str">
        <f t="shared" si="2"/>
        <v>SP_Area_Organizzazione_writer</v>
      </c>
      <c r="L59" t="str">
        <f t="shared" si="3"/>
        <v>SP_Area_Organizzazione_reader</v>
      </c>
    </row>
    <row r="60" spans="5:12" x14ac:dyDescent="0.35">
      <c r="E60" t="s">
        <v>829</v>
      </c>
      <c r="F60" t="s">
        <v>902</v>
      </c>
      <c r="I60" t="str">
        <f t="shared" si="0"/>
        <v>SP_Area_Pianificazione_Budget_e_Controllo_owner</v>
      </c>
      <c r="J60" t="str">
        <f t="shared" si="1"/>
        <v>SP_Area_Pianificazione_Budget_e_Controllo_approver</v>
      </c>
      <c r="K60" t="str">
        <f t="shared" si="2"/>
        <v>SP_Area_Pianificazione_Budget_e_Controllo_writer</v>
      </c>
      <c r="L60" t="str">
        <f t="shared" si="3"/>
        <v>SP_Area_Pianificazione_Budget_e_Controllo_reader</v>
      </c>
    </row>
    <row r="61" spans="5:12" x14ac:dyDescent="0.35">
      <c r="E61" t="s">
        <v>830</v>
      </c>
      <c r="F61" t="s">
        <v>903</v>
      </c>
      <c r="I61" t="str">
        <f t="shared" si="0"/>
        <v>SP_Area_Privacy_owner</v>
      </c>
      <c r="J61" t="str">
        <f t="shared" si="1"/>
        <v>SP_Area_Privacy_approver</v>
      </c>
      <c r="K61" t="str">
        <f t="shared" si="2"/>
        <v>SP_Area_Privacy_writer</v>
      </c>
      <c r="L61" t="str">
        <f t="shared" si="3"/>
        <v>SP_Area_Privacy_reader</v>
      </c>
    </row>
    <row r="62" spans="5:12" x14ac:dyDescent="0.35">
      <c r="E62" t="s">
        <v>831</v>
      </c>
      <c r="F62" t="s">
        <v>904</v>
      </c>
      <c r="I62" t="str">
        <f t="shared" si="0"/>
        <v>SP_Area_Process_Compliance_owner</v>
      </c>
      <c r="J62" t="str">
        <f t="shared" si="1"/>
        <v>SP_Area_Process_Compliance_approver</v>
      </c>
      <c r="K62" t="str">
        <f t="shared" si="2"/>
        <v>SP_Area_Process_Compliance_writer</v>
      </c>
      <c r="L62" t="str">
        <f t="shared" si="3"/>
        <v>SP_Area_Process_Compliance_reader</v>
      </c>
    </row>
    <row r="63" spans="5:12" x14ac:dyDescent="0.35">
      <c r="E63" t="s">
        <v>832</v>
      </c>
      <c r="F63" t="s">
        <v>905</v>
      </c>
      <c r="I63" t="str">
        <f t="shared" si="0"/>
        <v>SP_Area_Product_Management_Sport_owner</v>
      </c>
      <c r="J63" t="str">
        <f t="shared" si="1"/>
        <v>SP_Area_Product_Management_Sport_approver</v>
      </c>
      <c r="K63" t="str">
        <f t="shared" si="2"/>
        <v>SP_Area_Product_Management_Sport_writer</v>
      </c>
      <c r="L63" t="str">
        <f t="shared" si="3"/>
        <v>SP_Area_Product_Management_Sport_reader</v>
      </c>
    </row>
    <row r="64" spans="5:12" x14ac:dyDescent="0.35">
      <c r="E64" t="s">
        <v>833</v>
      </c>
      <c r="F64" t="s">
        <v>906</v>
      </c>
      <c r="I64" t="str">
        <f t="shared" si="0"/>
        <v>SP_Area_Project_Management_owner</v>
      </c>
      <c r="J64" t="str">
        <f t="shared" si="1"/>
        <v>SP_Area_Project_Management_approver</v>
      </c>
      <c r="K64" t="str">
        <f t="shared" si="2"/>
        <v>SP_Area_Project_Management_writer</v>
      </c>
      <c r="L64" t="str">
        <f t="shared" si="3"/>
        <v>SP_Area_Project_Management_reader</v>
      </c>
    </row>
    <row r="65" spans="5:12" x14ac:dyDescent="0.35">
      <c r="E65" t="s">
        <v>834</v>
      </c>
      <c r="F65" t="s">
        <v>907</v>
      </c>
      <c r="I65" t="str">
        <f t="shared" si="0"/>
        <v>SP_Area_Qualità_Prodotti_Betting_owner</v>
      </c>
      <c r="J65" t="str">
        <f t="shared" si="1"/>
        <v>SP_Area_Qualità_Prodotti_Betting_approver</v>
      </c>
      <c r="K65" t="str">
        <f t="shared" si="2"/>
        <v>SP_Area_Qualità_Prodotti_Betting_writer</v>
      </c>
      <c r="L65" t="str">
        <f t="shared" si="3"/>
        <v>SP_Area_Qualità_Prodotti_Betting_reader</v>
      </c>
    </row>
    <row r="66" spans="5:12" x14ac:dyDescent="0.35">
      <c r="E66" t="s">
        <v>835</v>
      </c>
      <c r="F66" t="s">
        <v>908</v>
      </c>
      <c r="I66" t="str">
        <f t="shared" si="0"/>
        <v>SP_Area_Retail_Business_Performance_owner</v>
      </c>
      <c r="J66" t="str">
        <f t="shared" si="1"/>
        <v>SP_Area_Retail_Business_Performance_approver</v>
      </c>
      <c r="K66" t="str">
        <f t="shared" si="2"/>
        <v>SP_Area_Retail_Business_Performance_writer</v>
      </c>
      <c r="L66" t="str">
        <f t="shared" si="3"/>
        <v>SP_Area_Retail_Business_Performance_reader</v>
      </c>
    </row>
    <row r="67" spans="5:12" x14ac:dyDescent="0.35">
      <c r="E67" t="s">
        <v>836</v>
      </c>
      <c r="F67" t="s">
        <v>909</v>
      </c>
      <c r="I67" t="str">
        <f t="shared" si="0"/>
        <v>SP_Area_Retail_Marketing_owner</v>
      </c>
      <c r="J67" t="str">
        <f t="shared" si="1"/>
        <v>SP_Area_Retail_Marketing_approver</v>
      </c>
      <c r="K67" t="str">
        <f t="shared" si="2"/>
        <v>SP_Area_Retail_Marketing_writer</v>
      </c>
      <c r="L67" t="str">
        <f t="shared" si="3"/>
        <v>SP_Area_Retail_Marketing_reader</v>
      </c>
    </row>
    <row r="68" spans="5:12" x14ac:dyDescent="0.35">
      <c r="E68" t="s">
        <v>837</v>
      </c>
      <c r="F68" t="s">
        <v>910</v>
      </c>
      <c r="I68" t="str">
        <f t="shared" ref="I68:I82" si="4">$F68&amp;"_owner"</f>
        <v>SP_Area_Risk_Management_owner</v>
      </c>
      <c r="J68" t="str">
        <f t="shared" ref="J68:J82" si="5">$F68&amp;"_approver"</f>
        <v>SP_Area_Risk_Management_approver</v>
      </c>
      <c r="K68" t="str">
        <f t="shared" ref="K68:K82" si="6">$F68&amp;"_writer"</f>
        <v>SP_Area_Risk_Management_writer</v>
      </c>
      <c r="L68" t="str">
        <f t="shared" ref="L68:L82" si="7">$F68&amp;"_reader"</f>
        <v>SP_Area_Risk_Management_reader</v>
      </c>
    </row>
    <row r="69" spans="5:12" x14ac:dyDescent="0.35">
      <c r="E69" t="s">
        <v>838</v>
      </c>
      <c r="F69" t="s">
        <v>911</v>
      </c>
      <c r="I69" t="str">
        <f t="shared" si="4"/>
        <v>SP_Area_Risorse_Umane_e_Organizzazione_owner</v>
      </c>
      <c r="J69" t="str">
        <f t="shared" si="5"/>
        <v>SP_Area_Risorse_Umane_e_Organizzazione_approver</v>
      </c>
      <c r="K69" t="str">
        <f t="shared" si="6"/>
        <v>SP_Area_Risorse_Umane_e_Organizzazione_writer</v>
      </c>
      <c r="L69" t="str">
        <f t="shared" si="7"/>
        <v>SP_Area_Risorse_Umane_e_Organizzazione_reader</v>
      </c>
    </row>
    <row r="70" spans="5:12" x14ac:dyDescent="0.35">
      <c r="E70" t="s">
        <v>839</v>
      </c>
      <c r="F70" t="s">
        <v>912</v>
      </c>
      <c r="I70" t="str">
        <f t="shared" si="4"/>
        <v>SP_Area_Segreteria_Ippica_owner</v>
      </c>
      <c r="J70" t="str">
        <f t="shared" si="5"/>
        <v>SP_Area_Segreteria_Ippica_approver</v>
      </c>
      <c r="K70" t="str">
        <f t="shared" si="6"/>
        <v>SP_Area_Segreteria_Ippica_writer</v>
      </c>
      <c r="L70" t="str">
        <f t="shared" si="7"/>
        <v>SP_Area_Segreteria_Ippica_reader</v>
      </c>
    </row>
    <row r="71" spans="5:12" x14ac:dyDescent="0.35">
      <c r="E71" t="s">
        <v>840</v>
      </c>
      <c r="F71" t="s">
        <v>913</v>
      </c>
      <c r="I71" t="str">
        <f t="shared" si="4"/>
        <v>SP_Area_Servizi_Commerciali_owner</v>
      </c>
      <c r="J71" t="str">
        <f t="shared" si="5"/>
        <v>SP_Area_Servizi_Commerciali_approver</v>
      </c>
      <c r="K71" t="str">
        <f t="shared" si="6"/>
        <v>SP_Area_Servizi_Commerciali_writer</v>
      </c>
      <c r="L71" t="str">
        <f t="shared" si="7"/>
        <v>SP_Area_Servizi_Commerciali_reader</v>
      </c>
    </row>
    <row r="72" spans="5:12" x14ac:dyDescent="0.35">
      <c r="E72" t="s">
        <v>841</v>
      </c>
      <c r="F72" t="s">
        <v>914</v>
      </c>
      <c r="I72" t="str">
        <f t="shared" si="4"/>
        <v>SP_Area_Smart_Working_owner</v>
      </c>
      <c r="J72" t="str">
        <f t="shared" si="5"/>
        <v>SP_Area_Smart_Working_approver</v>
      </c>
      <c r="K72" t="str">
        <f t="shared" si="6"/>
        <v>SP_Area_Smart_Working_writer</v>
      </c>
      <c r="L72" t="str">
        <f t="shared" si="7"/>
        <v>SP_Area_Smart_Working_reader</v>
      </c>
    </row>
    <row r="73" spans="5:12" x14ac:dyDescent="0.35">
      <c r="E73" t="s">
        <v>596</v>
      </c>
      <c r="F73" t="s">
        <v>915</v>
      </c>
      <c r="I73" t="str">
        <f t="shared" si="4"/>
        <v>SP_Area_Soluzioni_Betting_Online_owner</v>
      </c>
      <c r="J73" t="str">
        <f t="shared" si="5"/>
        <v>SP_Area_Soluzioni_Betting_Online_approver</v>
      </c>
      <c r="K73" t="str">
        <f t="shared" si="6"/>
        <v>SP_Area_Soluzioni_Betting_Online_writer</v>
      </c>
      <c r="L73" t="str">
        <f t="shared" si="7"/>
        <v>SP_Area_Soluzioni_Betting_Online_reader</v>
      </c>
    </row>
    <row r="74" spans="5:12" x14ac:dyDescent="0.35">
      <c r="E74" t="s">
        <v>326</v>
      </c>
      <c r="F74" t="s">
        <v>916</v>
      </c>
      <c r="I74" t="str">
        <f t="shared" si="4"/>
        <v>SP_Area_Soluzioni_Gaming_Machine_Servizi_owner</v>
      </c>
      <c r="J74" t="str">
        <f t="shared" si="5"/>
        <v>SP_Area_Soluzioni_Gaming_Machine_Servizi_approver</v>
      </c>
      <c r="K74" t="str">
        <f t="shared" si="6"/>
        <v>SP_Area_Soluzioni_Gaming_Machine_Servizi_writer</v>
      </c>
      <c r="L74" t="str">
        <f t="shared" si="7"/>
        <v>SP_Area_Soluzioni_Gaming_Machine_Servizi_reader</v>
      </c>
    </row>
    <row r="75" spans="5:12" x14ac:dyDescent="0.35">
      <c r="E75" t="s">
        <v>200</v>
      </c>
      <c r="F75" t="s">
        <v>917</v>
      </c>
      <c r="I75" t="str">
        <f t="shared" si="4"/>
        <v>SP_Area_Sviluppo_Prodotti_e_Innovazione_Online_owner</v>
      </c>
      <c r="J75" t="str">
        <f t="shared" si="5"/>
        <v>SP_Area_Sviluppo_Prodotti_e_Innovazione_Online_approver</v>
      </c>
      <c r="K75" t="str">
        <f t="shared" si="6"/>
        <v>SP_Area_Sviluppo_Prodotti_e_Innovazione_Online_writer</v>
      </c>
      <c r="L75" t="str">
        <f t="shared" si="7"/>
        <v>SP_Area_Sviluppo_Prodotti_e_Innovazione_Online_reader</v>
      </c>
    </row>
    <row r="76" spans="5:12" x14ac:dyDescent="0.35">
      <c r="E76" t="s">
        <v>502</v>
      </c>
      <c r="F76" t="s">
        <v>918</v>
      </c>
      <c r="I76" t="str">
        <f t="shared" si="4"/>
        <v>SP_Area_Sviluppo_Risorse_Umane_owner</v>
      </c>
      <c r="J76" t="str">
        <f t="shared" si="5"/>
        <v>SP_Area_Sviluppo_Risorse_Umane_approver</v>
      </c>
      <c r="K76" t="str">
        <f t="shared" si="6"/>
        <v>SP_Area_Sviluppo_Risorse_Umane_writer</v>
      </c>
      <c r="L76" t="str">
        <f t="shared" si="7"/>
        <v>SP_Area_Sviluppo_Risorse_Umane_reader</v>
      </c>
    </row>
    <row r="77" spans="5:12" x14ac:dyDescent="0.35">
      <c r="E77" t="s">
        <v>472</v>
      </c>
      <c r="F77" t="s">
        <v>919</v>
      </c>
      <c r="I77" t="str">
        <f t="shared" si="4"/>
        <v>SP_Area_Tesoreria_owner</v>
      </c>
      <c r="J77" t="str">
        <f t="shared" si="5"/>
        <v>SP_Area_Tesoreria_approver</v>
      </c>
      <c r="K77" t="str">
        <f t="shared" si="6"/>
        <v>SP_Area_Tesoreria_writer</v>
      </c>
      <c r="L77" t="str">
        <f t="shared" si="7"/>
        <v>SP_Area_Tesoreria_reader</v>
      </c>
    </row>
    <row r="78" spans="5:12" x14ac:dyDescent="0.35">
      <c r="E78" t="s">
        <v>589</v>
      </c>
      <c r="F78" t="s">
        <v>920</v>
      </c>
      <c r="I78" t="str">
        <f t="shared" si="4"/>
        <v>SP_Area_Trading_owner</v>
      </c>
      <c r="J78" t="str">
        <f t="shared" si="5"/>
        <v>SP_Area_Trading_approver</v>
      </c>
      <c r="K78" t="str">
        <f t="shared" si="6"/>
        <v>SP_Area_Trading_writer</v>
      </c>
      <c r="L78" t="str">
        <f t="shared" si="7"/>
        <v>SP_Area_Trading_reader</v>
      </c>
    </row>
    <row r="79" spans="5:12" x14ac:dyDescent="0.35">
      <c r="E79" t="s">
        <v>45</v>
      </c>
      <c r="F79" t="s">
        <v>921</v>
      </c>
      <c r="I79" t="str">
        <f t="shared" si="4"/>
        <v>SP_Area_Trading_Digital_owner</v>
      </c>
      <c r="J79" t="str">
        <f t="shared" si="5"/>
        <v>SP_Area_Trading_Digital_approver</v>
      </c>
      <c r="K79" t="str">
        <f t="shared" si="6"/>
        <v>SP_Area_Trading_Digital_writer</v>
      </c>
      <c r="L79" t="str">
        <f t="shared" si="7"/>
        <v>SP_Area_Trading_Digital_reader</v>
      </c>
    </row>
    <row r="80" spans="5:12" x14ac:dyDescent="0.35">
      <c r="E80" t="s">
        <v>735</v>
      </c>
      <c r="F80" t="s">
        <v>922</v>
      </c>
      <c r="I80" t="str">
        <f t="shared" si="4"/>
        <v>SP_Area_Vendite_owner</v>
      </c>
      <c r="J80" t="str">
        <f t="shared" si="5"/>
        <v>SP_Area_Vendite_approver</v>
      </c>
      <c r="K80" t="str">
        <f t="shared" si="6"/>
        <v>SP_Area_Vendite_writer</v>
      </c>
      <c r="L80" t="str">
        <f t="shared" si="7"/>
        <v>SP_Area_Vendite_reader</v>
      </c>
    </row>
    <row r="81" spans="5:12" x14ac:dyDescent="0.35">
      <c r="E81" t="s">
        <v>93</v>
      </c>
      <c r="F81" t="s">
        <v>923</v>
      </c>
      <c r="I81" t="str">
        <f t="shared" si="4"/>
        <v>SP_Area_Vendite_Betting_owner</v>
      </c>
      <c r="J81" t="str">
        <f t="shared" si="5"/>
        <v>SP_Area_Vendite_Betting_approver</v>
      </c>
      <c r="K81" t="str">
        <f t="shared" si="6"/>
        <v>SP_Area_Vendite_Betting_writer</v>
      </c>
      <c r="L81" t="str">
        <f t="shared" si="7"/>
        <v>SP_Area_Vendite_Betting_reader</v>
      </c>
    </row>
    <row r="82" spans="5:12" x14ac:dyDescent="0.35">
      <c r="E82" t="s">
        <v>156</v>
      </c>
      <c r="F82" t="s">
        <v>924</v>
      </c>
      <c r="I82" t="str">
        <f t="shared" si="4"/>
        <v>SP_Area_Vendite_Gaming_Machine_owner</v>
      </c>
      <c r="J82" t="str">
        <f t="shared" si="5"/>
        <v>SP_Area_Vendite_Gaming_Machine_approver</v>
      </c>
      <c r="K82" t="str">
        <f t="shared" si="6"/>
        <v>SP_Area_Vendite_Gaming_Machine_writer</v>
      </c>
      <c r="L82" t="str">
        <f t="shared" si="7"/>
        <v>SP_Area_Vendite_Gaming_Machine_reader</v>
      </c>
    </row>
  </sheetData>
  <mergeCells count="1">
    <mergeCell ref="I1:L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pilotDip</vt:lpstr>
      <vt:lpstr>Gruppi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Furio Angelo Borgonovo</cp:lastModifiedBy>
  <dcterms:created xsi:type="dcterms:W3CDTF">2019-11-06T22:23:00Z</dcterms:created>
  <dcterms:modified xsi:type="dcterms:W3CDTF">2019-11-07T09:29:25Z</dcterms:modified>
</cp:coreProperties>
</file>